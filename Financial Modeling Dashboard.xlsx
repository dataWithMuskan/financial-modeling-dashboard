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uskan Yadav\Documents\muskan\"/>
    </mc:Choice>
  </mc:AlternateContent>
  <xr:revisionPtr revIDLastSave="0" documentId="8_{EC461C9B-DE90-45CC-9098-134AA0A6EB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alculation" sheetId="2" r:id="rId2"/>
    <sheet name="Dashboard" sheetId="4" r:id="rId3"/>
    <sheet name="Sheet11" sheetId="19" state="hidden" r:id="rId4"/>
    <sheet name="Sheet12" sheetId="20" state="hidden" r:id="rId5"/>
    <sheet name="Sheet14" sheetId="22" state="hidden" r:id="rId6"/>
  </sheets>
  <definedNames>
    <definedName name="_xlchart.v1.0" hidden="1">Sheet14!$K$2:$K$6</definedName>
    <definedName name="_xlchart.v1.1" hidden="1">Sheet14!$L$1</definedName>
    <definedName name="_xlchart.v1.2" hidden="1">Sheet14!$L$2:$L$6</definedName>
    <definedName name="_xlchart.v1.3" hidden="1">Sheet14!$K$2:$K$6</definedName>
    <definedName name="_xlchart.v1.4" hidden="1">Sheet14!$L$1</definedName>
    <definedName name="_xlchart.v1.5" hidden="1">Sheet14!$L$2:$L$6</definedName>
    <definedName name="_xlchart.v1.6" hidden="1">Sheet14!$K$2:$K$6</definedName>
    <definedName name="_xlchart.v1.7" hidden="1">Sheet14!$L$1</definedName>
    <definedName name="_xlchart.v1.8" hidden="1">Sheet14!$L$2:$L$6</definedName>
  </definedNames>
  <calcPr calcId="191029"/>
  <pivotCaches>
    <pivotCache cacheId="4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2" l="1"/>
  <c r="C4" i="22"/>
  <c r="C5" i="22"/>
  <c r="C6" i="22"/>
  <c r="C7" i="22"/>
  <c r="C2" i="22"/>
  <c r="B4" i="22"/>
  <c r="B5" i="22"/>
  <c r="B6" i="22"/>
  <c r="B7" i="22"/>
  <c r="B3" i="22"/>
  <c r="B2" i="22"/>
  <c r="P11" i="4"/>
  <c r="P12" i="4"/>
  <c r="P10" i="4"/>
  <c r="F5" i="4"/>
  <c r="H2" i="2"/>
  <c r="C2" i="2"/>
  <c r="C3" i="2"/>
  <c r="C4" i="2"/>
  <c r="C5" i="2"/>
  <c r="D5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D29" i="2" s="1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D6" i="2"/>
  <c r="D2" i="2"/>
  <c r="D3" i="2"/>
  <c r="D4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2" i="2"/>
  <c r="A47" i="2"/>
  <c r="A48" i="2"/>
  <c r="A49" i="2"/>
  <c r="A42" i="2"/>
  <c r="A43" i="2"/>
  <c r="A44" i="2"/>
  <c r="A45" i="2"/>
  <c r="A46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2" i="2"/>
  <c r="E42" i="2" l="1"/>
  <c r="E29" i="2"/>
  <c r="E26" i="2"/>
  <c r="E10" i="2"/>
  <c r="E13" i="2"/>
  <c r="B5" i="4"/>
  <c r="E18" i="2"/>
  <c r="E34" i="2"/>
  <c r="E12" i="2"/>
  <c r="E45" i="2"/>
  <c r="E37" i="2"/>
  <c r="E21" i="2"/>
  <c r="E5" i="2"/>
  <c r="E44" i="2"/>
  <c r="E36" i="2"/>
  <c r="E28" i="2"/>
  <c r="E20" i="2"/>
  <c r="E4" i="2"/>
  <c r="E41" i="2"/>
  <c r="E25" i="2"/>
  <c r="E32" i="2"/>
  <c r="E47" i="2"/>
  <c r="E39" i="2"/>
  <c r="E31" i="2"/>
  <c r="E23" i="2"/>
  <c r="E15" i="2"/>
  <c r="E7" i="2"/>
  <c r="E46" i="2"/>
  <c r="E38" i="2"/>
  <c r="E30" i="2"/>
  <c r="E22" i="2"/>
  <c r="E14" i="2"/>
  <c r="E6" i="2"/>
  <c r="E17" i="2"/>
  <c r="E48" i="2"/>
  <c r="E24" i="2"/>
  <c r="E49" i="2"/>
  <c r="E9" i="2"/>
  <c r="E16" i="2"/>
  <c r="E33" i="2"/>
  <c r="E40" i="2"/>
  <c r="E8" i="2"/>
  <c r="E43" i="2"/>
  <c r="E35" i="2"/>
  <c r="E27" i="2"/>
  <c r="E19" i="2"/>
  <c r="E11" i="2"/>
  <c r="E3" i="2"/>
  <c r="E2" i="2"/>
  <c r="D5" i="4" l="1"/>
</calcChain>
</file>

<file path=xl/sharedStrings.xml><?xml version="1.0" encoding="utf-8"?>
<sst xmlns="http://schemas.openxmlformats.org/spreadsheetml/2006/main" count="212" uniqueCount="104">
  <si>
    <t>Month</t>
  </si>
  <si>
    <t>Units Sold</t>
  </si>
  <si>
    <t>Price per Unit</t>
  </si>
  <si>
    <t>Variable Cost per Unit</t>
  </si>
  <si>
    <t>Fixed Cost</t>
  </si>
  <si>
    <t>Marketing Cost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</si>
  <si>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</si>
  <si>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</si>
  <si>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</si>
  <si>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</si>
  <si>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</si>
  <si>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</si>
  <si>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</si>
  <si>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</si>
  <si>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</si>
  <si>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</si>
  <si>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</si>
  <si>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</si>
  <si>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</si>
  <si>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</si>
  <si>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</si>
  <si>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</si>
  <si>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</si>
  <si>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</si>
  <si>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</si>
  <si>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</si>
  <si>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</si>
  <si>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</si>
  <si>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</si>
  <si>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</si>
  <si>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</si>
  <si>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</si>
  <si>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</si>
  <si>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</si>
  <si>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</si>
  <si>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</si>
  <si>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</si>
  <si>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</si>
  <si>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</si>
  <si>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</si>
  <si>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</si>
  <si>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</si>
  <si>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</si>
  <si>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</si>
  <si>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</si>
  <si>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</si>
  <si>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</si>
  <si>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</si>
  <si>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</si>
  <si>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</si>
  <si>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</si>
  <si>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</si>
  <si>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</si>
  <si>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</si>
  <si>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Revenue</t>
  </si>
  <si>
    <t>Total Cost</t>
  </si>
  <si>
    <t>Total Variable Cost</t>
  </si>
  <si>
    <t>Profit</t>
  </si>
  <si>
    <t xml:space="preserve">    Break-Even Value</t>
  </si>
  <si>
    <t xml:space="preserve">   Payback Period</t>
  </si>
  <si>
    <t xml:space="preserve">       2 Months</t>
  </si>
  <si>
    <t xml:space="preserve">                   </t>
  </si>
  <si>
    <t xml:space="preserve">          </t>
  </si>
  <si>
    <t>Break -Even Units</t>
  </si>
  <si>
    <t>Units</t>
  </si>
  <si>
    <t>Variable Cost</t>
  </si>
  <si>
    <t>Values</t>
  </si>
  <si>
    <t>Waterfall Chart</t>
  </si>
  <si>
    <t>Normal</t>
  </si>
  <si>
    <t>Best</t>
  </si>
  <si>
    <t>Worst</t>
  </si>
  <si>
    <t>Row Labels</t>
  </si>
  <si>
    <t>Grand Total</t>
  </si>
  <si>
    <t>Sum of Revenue</t>
  </si>
  <si>
    <t>Sum of Total Cost</t>
  </si>
  <si>
    <t>Sum of Profit</t>
  </si>
  <si>
    <t>Key Insights</t>
  </si>
  <si>
    <t>• Profit increases significantly after crossing the break-even point (~714 units).</t>
  </si>
  <si>
    <t>• Selling price has the highest positive impact on profitability.</t>
  </si>
  <si>
    <t>• Variable cost strongly affects profit margins—cost control is critical.</t>
  </si>
  <si>
    <t>• Higher marketing spend is associated with increased sales and revenue growth.</t>
  </si>
  <si>
    <t>• Business performance improves consistently over the years, showing a positive growth trend.</t>
  </si>
  <si>
    <t>Business Recommendations</t>
  </si>
  <si>
    <t>• Focus on increasing sales volume through targeted marketing strategies.</t>
  </si>
  <si>
    <t>• Optimize pricing strategy to maximize revenue without reducing demand.</t>
  </si>
  <si>
    <t>• Control variable costs through better supplier negotiation and efficiency.</t>
  </si>
  <si>
    <t>• Maintain sales above the break-even level to ensure profitability.</t>
  </si>
  <si>
    <t>• Continuously monitor financial performance for better decision-making.</t>
  </si>
  <si>
    <t>Financial Modeling Dashboard
Retail Business Performance Analysis (2021–2024)</t>
  </si>
  <si>
    <t>Scenario</t>
  </si>
  <si>
    <t>Price</t>
  </si>
  <si>
    <t>Cost</t>
  </si>
  <si>
    <t xml:space="preserve"> Profit Analysis</t>
  </si>
  <si>
    <r>
      <t xml:space="preserve">  </t>
    </r>
    <r>
      <rPr>
        <b/>
        <u/>
        <sz val="11"/>
        <color theme="1"/>
        <rFont val="Calibri"/>
        <family val="2"/>
        <scheme val="minor"/>
      </rPr>
      <t>Financial breakdown</t>
    </r>
  </si>
  <si>
    <t xml:space="preserve"> Revenue</t>
  </si>
  <si>
    <t>Scenario Manager</t>
  </si>
  <si>
    <t xml:space="preserve">    Total Profit</t>
  </si>
  <si>
    <r>
      <t xml:space="preserve">           </t>
    </r>
    <r>
      <rPr>
        <sz val="20"/>
        <color rgb="FF00B0F0"/>
        <rFont val="Calibri"/>
        <family val="2"/>
        <scheme val="minor"/>
      </rPr>
      <t xml:space="preserve"> Total Revenue</t>
    </r>
  </si>
  <si>
    <t xml:space="preserve">Prepared by: Muskan Yadav  </t>
  </si>
  <si>
    <t>Tools Used: Excel | Financial Modeling | Data Analysis</t>
  </si>
  <si>
    <t>• Cost structure (fixed + variable) is the primary reason for negative profitability.</t>
  </si>
  <si>
    <t>Marketing</t>
  </si>
  <si>
    <t>Total cost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</si>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</sst>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.00"/>
    <numFmt numFmtId="165" formatCode="[$₹-446]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D0D0D"/>
      <name val="Segoe UI"/>
      <family val="2"/>
    </font>
    <font>
      <b/>
      <sz val="1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00B0F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20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2" borderId="0" xfId="0" applyFont="1" applyFill="1" applyAlignment="1">
      <alignment wrapText="1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164" fontId="11" fillId="2" borderId="1" xfId="0" applyNumberFormat="1" applyFont="1" applyFill="1" applyBorder="1"/>
    <xf numFmtId="164" fontId="12" fillId="2" borderId="2" xfId="0" applyNumberFormat="1" applyFont="1" applyFill="1" applyBorder="1"/>
    <xf numFmtId="0" fontId="13" fillId="2" borderId="2" xfId="0" applyFont="1" applyFill="1" applyBorder="1"/>
    <xf numFmtId="0" fontId="14" fillId="2" borderId="3" xfId="0" applyFont="1" applyFill="1" applyBorder="1"/>
    <xf numFmtId="165" fontId="0" fillId="2" borderId="0" xfId="0" applyNumberFormat="1" applyFill="1"/>
    <xf numFmtId="0" fontId="4" fillId="2" borderId="0" xfId="0" applyFont="1" applyFill="1"/>
    <xf numFmtId="0" fontId="10" fillId="2" borderId="5" xfId="0" applyFont="1" applyFill="1" applyBorder="1"/>
    <xf numFmtId="164" fontId="10" fillId="2" borderId="5" xfId="0" applyNumberFormat="1" applyFont="1" applyFill="1" applyBorder="1"/>
    <xf numFmtId="0" fontId="7" fillId="2" borderId="0" xfId="0" applyFont="1" applyFill="1"/>
    <xf numFmtId="0" fontId="9" fillId="2" borderId="0" xfId="0" applyFont="1" applyFill="1"/>
    <xf numFmtId="0" fontId="2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8" fillId="2" borderId="0" xfId="0" applyFont="1" applyFill="1"/>
    <xf numFmtId="0" fontId="6" fillId="2" borderId="4" xfId="0" applyFont="1" applyFill="1" applyBorder="1"/>
    <xf numFmtId="0" fontId="11" fillId="2" borderId="7" xfId="0" applyFont="1" applyFill="1" applyBorder="1"/>
    <xf numFmtId="0" fontId="12" fillId="2" borderId="7" xfId="0" applyFont="1" applyFill="1" applyBorder="1"/>
    <xf numFmtId="0" fontId="13" fillId="2" borderId="7" xfId="0" applyFont="1" applyFill="1" applyBorder="1"/>
    <xf numFmtId="0" fontId="12" fillId="2" borderId="8" xfId="0" applyFont="1" applyFill="1" applyBorder="1"/>
    <xf numFmtId="0" fontId="13" fillId="2" borderId="8" xfId="0" applyFont="1" applyFill="1" applyBorder="1"/>
    <xf numFmtId="0" fontId="13" fillId="2" borderId="9" xfId="0" applyFont="1" applyFill="1" applyBorder="1"/>
    <xf numFmtId="0" fontId="14" fillId="2" borderId="10" xfId="0" applyFont="1" applyFill="1" applyBorder="1"/>
    <xf numFmtId="0" fontId="0" fillId="2" borderId="2" xfId="0" applyFill="1" applyBorder="1"/>
    <xf numFmtId="0" fontId="11" fillId="2" borderId="11" xfId="0" applyFont="1" applyFill="1" applyBorder="1"/>
    <xf numFmtId="0" fontId="11" fillId="2" borderId="12" xfId="0" applyFont="1" applyFill="1" applyBorder="1"/>
    <xf numFmtId="0" fontId="8" fillId="2" borderId="0" xfId="0" applyFont="1" applyFill="1"/>
    <xf numFmtId="0" fontId="8" fillId="2" borderId="6" xfId="0" applyFont="1" applyFill="1" applyBorder="1"/>
    <xf numFmtId="0" fontId="4" fillId="2" borderId="5" xfId="0" applyFont="1" applyFill="1" applyBorder="1"/>
    <xf numFmtId="164" fontId="4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Modeling Dashboard.xlsx]Sheet11!PivotTable13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Sheet11!$A$4:$A$52</c:f>
              <c:strCache>
                <c:ptCount val="48"/>
                <c:pt idx="0">
                  <c:v>Apr-2021</c:v>
                </c:pt>
                <c:pt idx="1">
                  <c:v>Apr-2022</c:v>
                </c:pt>
                <c:pt idx="2">
                  <c:v>Apr-2023</c:v>
                </c:pt>
                <c:pt idx="3">
                  <c:v>Apr-2024</c:v>
                </c:pt>
                <c:pt idx="4">
                  <c:v>Aug-2021</c:v>
                </c:pt>
                <c:pt idx="5">
                  <c:v>Aug-2022</c:v>
                </c:pt>
                <c:pt idx="6">
                  <c:v>Aug-2023</c:v>
                </c:pt>
                <c:pt idx="7">
                  <c:v>Aug-2024</c:v>
                </c:pt>
                <c:pt idx="8">
                  <c:v>Dec-2021</c:v>
                </c:pt>
                <c:pt idx="9">
                  <c:v>Dec-2022</c:v>
                </c:pt>
                <c:pt idx="10">
                  <c:v>Dec-2023</c:v>
                </c:pt>
                <c:pt idx="11">
                  <c:v>Dec-2024</c:v>
                </c:pt>
                <c:pt idx="12">
                  <c:v>Feb-2021</c:v>
                </c:pt>
                <c:pt idx="13">
                  <c:v>Feb-2022</c:v>
                </c:pt>
                <c:pt idx="14">
                  <c:v>Feb-2023</c:v>
                </c:pt>
                <c:pt idx="15">
                  <c:v>Feb-2024</c:v>
                </c:pt>
                <c:pt idx="16">
                  <c:v>Jan-2021</c:v>
                </c:pt>
                <c:pt idx="17">
                  <c:v>Jan-2022</c:v>
                </c:pt>
                <c:pt idx="18">
                  <c:v>Jan-2023</c:v>
                </c:pt>
                <c:pt idx="19">
                  <c:v>Jan-2024</c:v>
                </c:pt>
                <c:pt idx="20">
                  <c:v>Jul-2021</c:v>
                </c:pt>
                <c:pt idx="21">
                  <c:v>Jul-2022</c:v>
                </c:pt>
                <c:pt idx="22">
                  <c:v>Jul-2023</c:v>
                </c:pt>
                <c:pt idx="23">
                  <c:v>Jul-2024</c:v>
                </c:pt>
                <c:pt idx="24">
                  <c:v>Jun-2021</c:v>
                </c:pt>
                <c:pt idx="25">
                  <c:v>Jun-2022</c:v>
                </c:pt>
                <c:pt idx="26">
                  <c:v>Jun-2023</c:v>
                </c:pt>
                <c:pt idx="27">
                  <c:v>Jun-2024</c:v>
                </c:pt>
                <c:pt idx="28">
                  <c:v>Mar-2021</c:v>
                </c:pt>
                <c:pt idx="29">
                  <c:v>Mar-2022</c:v>
                </c:pt>
                <c:pt idx="30">
                  <c:v>Mar-2023</c:v>
                </c:pt>
                <c:pt idx="31">
                  <c:v>Mar-2024</c:v>
                </c:pt>
                <c:pt idx="32">
                  <c:v>May-2021</c:v>
                </c:pt>
                <c:pt idx="33">
                  <c:v>May-2022</c:v>
                </c:pt>
                <c:pt idx="34">
                  <c:v>May-2023</c:v>
                </c:pt>
                <c:pt idx="35">
                  <c:v>May-2024</c:v>
                </c:pt>
                <c:pt idx="36">
                  <c:v>Nov-2021</c:v>
                </c:pt>
                <c:pt idx="37">
                  <c:v>Nov-2022</c:v>
                </c:pt>
                <c:pt idx="38">
                  <c:v>Nov-2023</c:v>
                </c:pt>
                <c:pt idx="39">
                  <c:v>Nov-2024</c:v>
                </c:pt>
                <c:pt idx="40">
                  <c:v>Oct-2021</c:v>
                </c:pt>
                <c:pt idx="41">
                  <c:v>Oct-2022</c:v>
                </c:pt>
                <c:pt idx="42">
                  <c:v>Oct-2023</c:v>
                </c:pt>
                <c:pt idx="43">
                  <c:v>Oct-2024</c:v>
                </c:pt>
                <c:pt idx="44">
                  <c:v>Sep-2021</c:v>
                </c:pt>
                <c:pt idx="45">
                  <c:v>Sep-2022</c:v>
                </c:pt>
                <c:pt idx="46">
                  <c:v>Sep-2023</c:v>
                </c:pt>
                <c:pt idx="47">
                  <c:v>Sep-2024</c:v>
                </c:pt>
              </c:strCache>
            </c:strRef>
          </c:cat>
          <c:val>
            <c:numRef>
              <c:f>Sheet11!$B$4:$B$52</c:f>
              <c:numCache>
                <c:formatCode>[$₹-439]#,##0.00</c:formatCode>
                <c:ptCount val="48"/>
                <c:pt idx="0">
                  <c:v>400000</c:v>
                </c:pt>
                <c:pt idx="1">
                  <c:v>468000</c:v>
                </c:pt>
                <c:pt idx="2">
                  <c:v>540000</c:v>
                </c:pt>
                <c:pt idx="3">
                  <c:v>616000</c:v>
                </c:pt>
                <c:pt idx="4">
                  <c:v>600000</c:v>
                </c:pt>
                <c:pt idx="5">
                  <c:v>676000</c:v>
                </c:pt>
                <c:pt idx="6">
                  <c:v>756000</c:v>
                </c:pt>
                <c:pt idx="7">
                  <c:v>840000</c:v>
                </c:pt>
                <c:pt idx="8">
                  <c:v>800000</c:v>
                </c:pt>
                <c:pt idx="9">
                  <c:v>884000</c:v>
                </c:pt>
                <c:pt idx="10">
                  <c:v>972000</c:v>
                </c:pt>
                <c:pt idx="11">
                  <c:v>1120000</c:v>
                </c:pt>
                <c:pt idx="12">
                  <c:v>300000</c:v>
                </c:pt>
                <c:pt idx="13">
                  <c:v>364000</c:v>
                </c:pt>
                <c:pt idx="14">
                  <c:v>432000</c:v>
                </c:pt>
                <c:pt idx="15">
                  <c:v>504000</c:v>
                </c:pt>
                <c:pt idx="16">
                  <c:v>250000</c:v>
                </c:pt>
                <c:pt idx="17">
                  <c:v>312000</c:v>
                </c:pt>
                <c:pt idx="18">
                  <c:v>378000</c:v>
                </c:pt>
                <c:pt idx="19">
                  <c:v>448000</c:v>
                </c:pt>
                <c:pt idx="20">
                  <c:v>550000</c:v>
                </c:pt>
                <c:pt idx="21">
                  <c:v>624000</c:v>
                </c:pt>
                <c:pt idx="22">
                  <c:v>702000</c:v>
                </c:pt>
                <c:pt idx="23">
                  <c:v>784000</c:v>
                </c:pt>
                <c:pt idx="24">
                  <c:v>500000</c:v>
                </c:pt>
                <c:pt idx="25">
                  <c:v>572000</c:v>
                </c:pt>
                <c:pt idx="26">
                  <c:v>648000</c:v>
                </c:pt>
                <c:pt idx="27">
                  <c:v>728000</c:v>
                </c:pt>
                <c:pt idx="28">
                  <c:v>350000</c:v>
                </c:pt>
                <c:pt idx="29">
                  <c:v>416000</c:v>
                </c:pt>
                <c:pt idx="30">
                  <c:v>486000</c:v>
                </c:pt>
                <c:pt idx="31">
                  <c:v>560000</c:v>
                </c:pt>
                <c:pt idx="32">
                  <c:v>450000</c:v>
                </c:pt>
                <c:pt idx="33">
                  <c:v>520000</c:v>
                </c:pt>
                <c:pt idx="34">
                  <c:v>594000</c:v>
                </c:pt>
                <c:pt idx="35">
                  <c:v>672000</c:v>
                </c:pt>
                <c:pt idx="36">
                  <c:v>750000</c:v>
                </c:pt>
                <c:pt idx="37">
                  <c:v>832000</c:v>
                </c:pt>
                <c:pt idx="38">
                  <c:v>918000</c:v>
                </c:pt>
                <c:pt idx="39">
                  <c:v>1008000</c:v>
                </c:pt>
                <c:pt idx="40">
                  <c:v>700000</c:v>
                </c:pt>
                <c:pt idx="41">
                  <c:v>780000</c:v>
                </c:pt>
                <c:pt idx="42">
                  <c:v>864000</c:v>
                </c:pt>
                <c:pt idx="43">
                  <c:v>952000</c:v>
                </c:pt>
                <c:pt idx="44">
                  <c:v>650000</c:v>
                </c:pt>
                <c:pt idx="45">
                  <c:v>728000</c:v>
                </c:pt>
                <c:pt idx="46">
                  <c:v>810000</c:v>
                </c:pt>
                <c:pt idx="47">
                  <c:v>896000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2A-45E3-BE77-3E64A1E317F1}"/>
            </c:ext>
          </c:extLst>
        </c:ser>
        <c:ser>
          <c:idx val="1"/>
          <c:order val="1"/>
          <c:tx>
            <c:strRef>
              <c:f>Sheet11!$C$3</c:f>
              <c:strCache>
                <c:ptCount val="1"/>
                <c:pt idx="0">
                  <c:v>Sum of 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Sheet11!$A$4:$A$52</c:f>
              <c:strCache>
                <c:ptCount val="48"/>
                <c:pt idx="0">
                  <c:v>Apr-2021</c:v>
                </c:pt>
                <c:pt idx="1">
                  <c:v>Apr-2022</c:v>
                </c:pt>
                <c:pt idx="2">
                  <c:v>Apr-2023</c:v>
                </c:pt>
                <c:pt idx="3">
                  <c:v>Apr-2024</c:v>
                </c:pt>
                <c:pt idx="4">
                  <c:v>Aug-2021</c:v>
                </c:pt>
                <c:pt idx="5">
                  <c:v>Aug-2022</c:v>
                </c:pt>
                <c:pt idx="6">
                  <c:v>Aug-2023</c:v>
                </c:pt>
                <c:pt idx="7">
                  <c:v>Aug-2024</c:v>
                </c:pt>
                <c:pt idx="8">
                  <c:v>Dec-2021</c:v>
                </c:pt>
                <c:pt idx="9">
                  <c:v>Dec-2022</c:v>
                </c:pt>
                <c:pt idx="10">
                  <c:v>Dec-2023</c:v>
                </c:pt>
                <c:pt idx="11">
                  <c:v>Dec-2024</c:v>
                </c:pt>
                <c:pt idx="12">
                  <c:v>Feb-2021</c:v>
                </c:pt>
                <c:pt idx="13">
                  <c:v>Feb-2022</c:v>
                </c:pt>
                <c:pt idx="14">
                  <c:v>Feb-2023</c:v>
                </c:pt>
                <c:pt idx="15">
                  <c:v>Feb-2024</c:v>
                </c:pt>
                <c:pt idx="16">
                  <c:v>Jan-2021</c:v>
                </c:pt>
                <c:pt idx="17">
                  <c:v>Jan-2022</c:v>
                </c:pt>
                <c:pt idx="18">
                  <c:v>Jan-2023</c:v>
                </c:pt>
                <c:pt idx="19">
                  <c:v>Jan-2024</c:v>
                </c:pt>
                <c:pt idx="20">
                  <c:v>Jul-2021</c:v>
                </c:pt>
                <c:pt idx="21">
                  <c:v>Jul-2022</c:v>
                </c:pt>
                <c:pt idx="22">
                  <c:v>Jul-2023</c:v>
                </c:pt>
                <c:pt idx="23">
                  <c:v>Jul-2024</c:v>
                </c:pt>
                <c:pt idx="24">
                  <c:v>Jun-2021</c:v>
                </c:pt>
                <c:pt idx="25">
                  <c:v>Jun-2022</c:v>
                </c:pt>
                <c:pt idx="26">
                  <c:v>Jun-2023</c:v>
                </c:pt>
                <c:pt idx="27">
                  <c:v>Jun-2024</c:v>
                </c:pt>
                <c:pt idx="28">
                  <c:v>Mar-2021</c:v>
                </c:pt>
                <c:pt idx="29">
                  <c:v>Mar-2022</c:v>
                </c:pt>
                <c:pt idx="30">
                  <c:v>Mar-2023</c:v>
                </c:pt>
                <c:pt idx="31">
                  <c:v>Mar-2024</c:v>
                </c:pt>
                <c:pt idx="32">
                  <c:v>May-2021</c:v>
                </c:pt>
                <c:pt idx="33">
                  <c:v>May-2022</c:v>
                </c:pt>
                <c:pt idx="34">
                  <c:v>May-2023</c:v>
                </c:pt>
                <c:pt idx="35">
                  <c:v>May-2024</c:v>
                </c:pt>
                <c:pt idx="36">
                  <c:v>Nov-2021</c:v>
                </c:pt>
                <c:pt idx="37">
                  <c:v>Nov-2022</c:v>
                </c:pt>
                <c:pt idx="38">
                  <c:v>Nov-2023</c:v>
                </c:pt>
                <c:pt idx="39">
                  <c:v>Nov-2024</c:v>
                </c:pt>
                <c:pt idx="40">
                  <c:v>Oct-2021</c:v>
                </c:pt>
                <c:pt idx="41">
                  <c:v>Oct-2022</c:v>
                </c:pt>
                <c:pt idx="42">
                  <c:v>Oct-2023</c:v>
                </c:pt>
                <c:pt idx="43">
                  <c:v>Oct-2024</c:v>
                </c:pt>
                <c:pt idx="44">
                  <c:v>Sep-2021</c:v>
                </c:pt>
                <c:pt idx="45">
                  <c:v>Sep-2022</c:v>
                </c:pt>
                <c:pt idx="46">
                  <c:v>Sep-2023</c:v>
                </c:pt>
                <c:pt idx="47">
                  <c:v>Sep-2024</c:v>
                </c:pt>
              </c:strCache>
            </c:strRef>
          </c:cat>
          <c:val>
            <c:numRef>
              <c:f>Sheet11!$C$4:$C$52</c:f>
              <c:numCache>
                <c:formatCode>[$₹-439]#,##0.00</c:formatCode>
                <c:ptCount val="48"/>
                <c:pt idx="0">
                  <c:v>411000</c:v>
                </c:pt>
                <c:pt idx="1">
                  <c:v>451000</c:v>
                </c:pt>
                <c:pt idx="2">
                  <c:v>500000</c:v>
                </c:pt>
                <c:pt idx="3">
                  <c:v>550000</c:v>
                </c:pt>
                <c:pt idx="4">
                  <c:v>519000</c:v>
                </c:pt>
                <c:pt idx="5">
                  <c:v>559000</c:v>
                </c:pt>
                <c:pt idx="6">
                  <c:v>616000</c:v>
                </c:pt>
                <c:pt idx="7">
                  <c:v>670000</c:v>
                </c:pt>
                <c:pt idx="8">
                  <c:v>627000</c:v>
                </c:pt>
                <c:pt idx="9">
                  <c:v>667000</c:v>
                </c:pt>
                <c:pt idx="10">
                  <c:v>732000</c:v>
                </c:pt>
                <c:pt idx="11">
                  <c:v>820000</c:v>
                </c:pt>
                <c:pt idx="12">
                  <c:v>357000</c:v>
                </c:pt>
                <c:pt idx="13">
                  <c:v>397000</c:v>
                </c:pt>
                <c:pt idx="14">
                  <c:v>442000</c:v>
                </c:pt>
                <c:pt idx="15">
                  <c:v>490000</c:v>
                </c:pt>
                <c:pt idx="16">
                  <c:v>330000</c:v>
                </c:pt>
                <c:pt idx="17">
                  <c:v>370000</c:v>
                </c:pt>
                <c:pt idx="18">
                  <c:v>413000</c:v>
                </c:pt>
                <c:pt idx="19">
                  <c:v>460000</c:v>
                </c:pt>
                <c:pt idx="20">
                  <c:v>492000</c:v>
                </c:pt>
                <c:pt idx="21">
                  <c:v>532000</c:v>
                </c:pt>
                <c:pt idx="22">
                  <c:v>587000</c:v>
                </c:pt>
                <c:pt idx="23">
                  <c:v>640000</c:v>
                </c:pt>
                <c:pt idx="24">
                  <c:v>465000</c:v>
                </c:pt>
                <c:pt idx="25">
                  <c:v>505000</c:v>
                </c:pt>
                <c:pt idx="26">
                  <c:v>558000</c:v>
                </c:pt>
                <c:pt idx="27">
                  <c:v>610000</c:v>
                </c:pt>
                <c:pt idx="28">
                  <c:v>384000</c:v>
                </c:pt>
                <c:pt idx="29">
                  <c:v>424000</c:v>
                </c:pt>
                <c:pt idx="30">
                  <c:v>471000</c:v>
                </c:pt>
                <c:pt idx="31">
                  <c:v>520000</c:v>
                </c:pt>
                <c:pt idx="32">
                  <c:v>438000</c:v>
                </c:pt>
                <c:pt idx="33">
                  <c:v>478000</c:v>
                </c:pt>
                <c:pt idx="34">
                  <c:v>529000</c:v>
                </c:pt>
                <c:pt idx="35">
                  <c:v>580000</c:v>
                </c:pt>
                <c:pt idx="36">
                  <c:v>600000</c:v>
                </c:pt>
                <c:pt idx="37">
                  <c:v>640000</c:v>
                </c:pt>
                <c:pt idx="38">
                  <c:v>703000</c:v>
                </c:pt>
                <c:pt idx="39">
                  <c:v>760000</c:v>
                </c:pt>
                <c:pt idx="40">
                  <c:v>573000</c:v>
                </c:pt>
                <c:pt idx="41">
                  <c:v>613000</c:v>
                </c:pt>
                <c:pt idx="42">
                  <c:v>674000</c:v>
                </c:pt>
                <c:pt idx="43">
                  <c:v>730000</c:v>
                </c:pt>
                <c:pt idx="44">
                  <c:v>546000</c:v>
                </c:pt>
                <c:pt idx="45">
                  <c:v>586000</c:v>
                </c:pt>
                <c:pt idx="46">
                  <c:v>645000</c:v>
                </c:pt>
                <c:pt idx="47">
                  <c:v>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2A-45E3-BE77-3E64A1E31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773296"/>
        <c:axId val="689774256"/>
      </c:lineChart>
      <c:catAx>
        <c:axId val="68977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74256"/>
        <c:crosses val="autoZero"/>
        <c:auto val="1"/>
        <c:lblAlgn val="ctr"/>
        <c:lblOffset val="100"/>
        <c:noMultiLvlLbl val="0"/>
      </c:catAx>
      <c:valAx>
        <c:axId val="689774256"/>
        <c:scaling>
          <c:orientation val="minMax"/>
        </c:scaling>
        <c:delete val="0"/>
        <c:axPos val="l"/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7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[Financial Modeling Dashboard.xlsx]Sheet12!PivotTable14</c:name>
    <c:fmtId val="7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Sheet12!$A$4:$A$52</c:f>
              <c:strCache>
                <c:ptCount val="48"/>
                <c:pt idx="0">
                  <c:v>Apr-2021</c:v>
                </c:pt>
                <c:pt idx="1">
                  <c:v>Apr-2022</c:v>
                </c:pt>
                <c:pt idx="2">
                  <c:v>Apr-2023</c:v>
                </c:pt>
                <c:pt idx="3">
                  <c:v>Apr-2024</c:v>
                </c:pt>
                <c:pt idx="4">
                  <c:v>Aug-2021</c:v>
                </c:pt>
                <c:pt idx="5">
                  <c:v>Aug-2022</c:v>
                </c:pt>
                <c:pt idx="6">
                  <c:v>Aug-2023</c:v>
                </c:pt>
                <c:pt idx="7">
                  <c:v>Aug-2024</c:v>
                </c:pt>
                <c:pt idx="8">
                  <c:v>Dec-2021</c:v>
                </c:pt>
                <c:pt idx="9">
                  <c:v>Dec-2022</c:v>
                </c:pt>
                <c:pt idx="10">
                  <c:v>Dec-2023</c:v>
                </c:pt>
                <c:pt idx="11">
                  <c:v>Dec-2024</c:v>
                </c:pt>
                <c:pt idx="12">
                  <c:v>Feb-2021</c:v>
                </c:pt>
                <c:pt idx="13">
                  <c:v>Feb-2022</c:v>
                </c:pt>
                <c:pt idx="14">
                  <c:v>Feb-2023</c:v>
                </c:pt>
                <c:pt idx="15">
                  <c:v>Feb-2024</c:v>
                </c:pt>
                <c:pt idx="16">
                  <c:v>Jan-2021</c:v>
                </c:pt>
                <c:pt idx="17">
                  <c:v>Jan-2022</c:v>
                </c:pt>
                <c:pt idx="18">
                  <c:v>Jan-2023</c:v>
                </c:pt>
                <c:pt idx="19">
                  <c:v>Jan-2024</c:v>
                </c:pt>
                <c:pt idx="20">
                  <c:v>Jul-2021</c:v>
                </c:pt>
                <c:pt idx="21">
                  <c:v>Jul-2022</c:v>
                </c:pt>
                <c:pt idx="22">
                  <c:v>Jul-2023</c:v>
                </c:pt>
                <c:pt idx="23">
                  <c:v>Jul-2024</c:v>
                </c:pt>
                <c:pt idx="24">
                  <c:v>Jun-2021</c:v>
                </c:pt>
                <c:pt idx="25">
                  <c:v>Jun-2022</c:v>
                </c:pt>
                <c:pt idx="26">
                  <c:v>Jun-2023</c:v>
                </c:pt>
                <c:pt idx="27">
                  <c:v>Jun-2024</c:v>
                </c:pt>
                <c:pt idx="28">
                  <c:v>Mar-2021</c:v>
                </c:pt>
                <c:pt idx="29">
                  <c:v>Mar-2022</c:v>
                </c:pt>
                <c:pt idx="30">
                  <c:v>Mar-2023</c:v>
                </c:pt>
                <c:pt idx="31">
                  <c:v>Mar-2024</c:v>
                </c:pt>
                <c:pt idx="32">
                  <c:v>May-2021</c:v>
                </c:pt>
                <c:pt idx="33">
                  <c:v>May-2022</c:v>
                </c:pt>
                <c:pt idx="34">
                  <c:v>May-2023</c:v>
                </c:pt>
                <c:pt idx="35">
                  <c:v>May-2024</c:v>
                </c:pt>
                <c:pt idx="36">
                  <c:v>Nov-2021</c:v>
                </c:pt>
                <c:pt idx="37">
                  <c:v>Nov-2022</c:v>
                </c:pt>
                <c:pt idx="38">
                  <c:v>Nov-2023</c:v>
                </c:pt>
                <c:pt idx="39">
                  <c:v>Nov-2024</c:v>
                </c:pt>
                <c:pt idx="40">
                  <c:v>Oct-2021</c:v>
                </c:pt>
                <c:pt idx="41">
                  <c:v>Oct-2022</c:v>
                </c:pt>
                <c:pt idx="42">
                  <c:v>Oct-2023</c:v>
                </c:pt>
                <c:pt idx="43">
                  <c:v>Oct-2024</c:v>
                </c:pt>
                <c:pt idx="44">
                  <c:v>Sep-2021</c:v>
                </c:pt>
                <c:pt idx="45">
                  <c:v>Sep-2022</c:v>
                </c:pt>
                <c:pt idx="46">
                  <c:v>Sep-2023</c:v>
                </c:pt>
                <c:pt idx="47">
                  <c:v>Sep-2024</c:v>
                </c:pt>
              </c:strCache>
            </c:strRef>
          </c:cat>
          <c:val>
            <c:numRef>
              <c:f>Sheet12!$B$4:$B$52</c:f>
              <c:numCache>
                <c:formatCode>[$₹-439]#,##0.00</c:formatCode>
                <c:ptCount val="48"/>
                <c:pt idx="0">
                  <c:v>-11000</c:v>
                </c:pt>
                <c:pt idx="1">
                  <c:v>17000</c:v>
                </c:pt>
                <c:pt idx="2">
                  <c:v>40000</c:v>
                </c:pt>
                <c:pt idx="3">
                  <c:v>66000</c:v>
                </c:pt>
                <c:pt idx="4">
                  <c:v>81000</c:v>
                </c:pt>
                <c:pt idx="5">
                  <c:v>117000</c:v>
                </c:pt>
                <c:pt idx="6">
                  <c:v>140000</c:v>
                </c:pt>
                <c:pt idx="7">
                  <c:v>170000</c:v>
                </c:pt>
                <c:pt idx="8">
                  <c:v>173000</c:v>
                </c:pt>
                <c:pt idx="9">
                  <c:v>217000</c:v>
                </c:pt>
                <c:pt idx="10">
                  <c:v>240000</c:v>
                </c:pt>
                <c:pt idx="11">
                  <c:v>300000</c:v>
                </c:pt>
                <c:pt idx="12">
                  <c:v>-57000</c:v>
                </c:pt>
                <c:pt idx="13">
                  <c:v>-33000</c:v>
                </c:pt>
                <c:pt idx="14">
                  <c:v>-10000</c:v>
                </c:pt>
                <c:pt idx="15">
                  <c:v>14000</c:v>
                </c:pt>
                <c:pt idx="16">
                  <c:v>-80000</c:v>
                </c:pt>
                <c:pt idx="17">
                  <c:v>-58000</c:v>
                </c:pt>
                <c:pt idx="18">
                  <c:v>-35000</c:v>
                </c:pt>
                <c:pt idx="19">
                  <c:v>-12000</c:v>
                </c:pt>
                <c:pt idx="20">
                  <c:v>58000</c:v>
                </c:pt>
                <c:pt idx="21">
                  <c:v>92000</c:v>
                </c:pt>
                <c:pt idx="22">
                  <c:v>115000</c:v>
                </c:pt>
                <c:pt idx="23">
                  <c:v>144000</c:v>
                </c:pt>
                <c:pt idx="24">
                  <c:v>35000</c:v>
                </c:pt>
                <c:pt idx="25">
                  <c:v>67000</c:v>
                </c:pt>
                <c:pt idx="26">
                  <c:v>90000</c:v>
                </c:pt>
                <c:pt idx="27">
                  <c:v>118000</c:v>
                </c:pt>
                <c:pt idx="28">
                  <c:v>-34000</c:v>
                </c:pt>
                <c:pt idx="29">
                  <c:v>-8000</c:v>
                </c:pt>
                <c:pt idx="30">
                  <c:v>15000</c:v>
                </c:pt>
                <c:pt idx="31">
                  <c:v>40000</c:v>
                </c:pt>
                <c:pt idx="32">
                  <c:v>12000</c:v>
                </c:pt>
                <c:pt idx="33">
                  <c:v>42000</c:v>
                </c:pt>
                <c:pt idx="34">
                  <c:v>65000</c:v>
                </c:pt>
                <c:pt idx="35">
                  <c:v>92000</c:v>
                </c:pt>
                <c:pt idx="36">
                  <c:v>150000</c:v>
                </c:pt>
                <c:pt idx="37">
                  <c:v>192000</c:v>
                </c:pt>
                <c:pt idx="38">
                  <c:v>215000</c:v>
                </c:pt>
                <c:pt idx="39">
                  <c:v>248000</c:v>
                </c:pt>
                <c:pt idx="40">
                  <c:v>127000</c:v>
                </c:pt>
                <c:pt idx="41">
                  <c:v>167000</c:v>
                </c:pt>
                <c:pt idx="42">
                  <c:v>190000</c:v>
                </c:pt>
                <c:pt idx="43">
                  <c:v>222000</c:v>
                </c:pt>
                <c:pt idx="44">
                  <c:v>104000</c:v>
                </c:pt>
                <c:pt idx="45">
                  <c:v>142000</c:v>
                </c:pt>
                <c:pt idx="46">
                  <c:v>165000</c:v>
                </c:pt>
                <c:pt idx="47">
                  <c:v>196000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8-4046-82A0-9F625B2674D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090400"/>
        <c:axId val="869090880"/>
      </c:barChart>
      <c:catAx>
        <c:axId val="86909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90880"/>
        <c:crosses val="autoZero"/>
        <c:auto val="1"/>
        <c:lblAlgn val="ctr"/>
        <c:lblOffset val="100"/>
        <c:noMultiLvlLbl val="0"/>
      </c:catAx>
      <c:valAx>
        <c:axId val="869090880"/>
        <c:scaling>
          <c:orientation val="minMax"/>
        </c:scaling>
        <c:delete val="0"/>
        <c:axPos val="l"/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9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Break-Even</a:t>
            </a:r>
            <a:r>
              <a:rPr lang="en-US" baseline="0"/>
              <a:t> Chart</a:t>
            </a:r>
            <a:endParaRPr lang="en-US"/>
          </a:p>
        </c:rich>
      </c:tx>
      <c:layout>
        <c:manualLayout>
          <c:xMode val="edge"/>
          <c:yMode val="edge"/>
          <c:x val="0.34004855643044624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Sheet14!$B$1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Sheet14!$A$2:$A$7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cat>
          <c:val>
            <c:numRef>
              <c:f>Sheet14!$B$2:$B$7</c:f>
              <c:numCache>
                <c:formatCode>General</c:formatCode>
                <c:ptCount val="6"/>
                <c:pt idx="0">
                  <c:v>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F-4443-B4DB-7298AF68BB44}"/>
            </c:ext>
          </c:extLst>
        </c:ser>
        <c:ser>
          <c:idx val="1"/>
          <c:order val="1"/>
          <c:tx>
            <c:strRef>
              <c:f>Sheet14!$C$1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Sheet14!$A$2:$A$7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cat>
          <c:val>
            <c:numRef>
              <c:f>Sheet14!$C$2:$C$7</c:f>
              <c:numCache>
                <c:formatCode>General</c:formatCode>
                <c:ptCount val="6"/>
                <c:pt idx="0">
                  <c:v>200000</c:v>
                </c:pt>
                <c:pt idx="1">
                  <c:v>244000</c:v>
                </c:pt>
                <c:pt idx="2">
                  <c:v>288000</c:v>
                </c:pt>
                <c:pt idx="3">
                  <c:v>332000</c:v>
                </c:pt>
                <c:pt idx="4">
                  <c:v>376000</c:v>
                </c:pt>
                <c:pt idx="5">
                  <c:v>420000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EF-4443-B4DB-7298AF68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298176"/>
        <c:axId val="767295296"/>
      </c:lineChart>
      <c:catAx>
        <c:axId val="76729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95296"/>
        <c:crosses val="autoZero"/>
        <c:auto val="1"/>
        <c:lblAlgn val="ctr"/>
        <c:lblOffset val="100"/>
        <c:noMultiLvlLbl val="0"/>
      </c:catAx>
      <c:valAx>
        <c:axId val="76729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9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Modeling Dashboard.xlsx]Sheet11!PivotTable13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Sheet11!$A$4:$A$52</c:f>
              <c:strCache>
                <c:ptCount val="48"/>
                <c:pt idx="0">
                  <c:v>Apr-2021</c:v>
                </c:pt>
                <c:pt idx="1">
                  <c:v>Apr-2022</c:v>
                </c:pt>
                <c:pt idx="2">
                  <c:v>Apr-2023</c:v>
                </c:pt>
                <c:pt idx="3">
                  <c:v>Apr-2024</c:v>
                </c:pt>
                <c:pt idx="4">
                  <c:v>Aug-2021</c:v>
                </c:pt>
                <c:pt idx="5">
                  <c:v>Aug-2022</c:v>
                </c:pt>
                <c:pt idx="6">
                  <c:v>Aug-2023</c:v>
                </c:pt>
                <c:pt idx="7">
                  <c:v>Aug-2024</c:v>
                </c:pt>
                <c:pt idx="8">
                  <c:v>Dec-2021</c:v>
                </c:pt>
                <c:pt idx="9">
                  <c:v>Dec-2022</c:v>
                </c:pt>
                <c:pt idx="10">
                  <c:v>Dec-2023</c:v>
                </c:pt>
                <c:pt idx="11">
                  <c:v>Dec-2024</c:v>
                </c:pt>
                <c:pt idx="12">
                  <c:v>Feb-2021</c:v>
                </c:pt>
                <c:pt idx="13">
                  <c:v>Feb-2022</c:v>
                </c:pt>
                <c:pt idx="14">
                  <c:v>Feb-2023</c:v>
                </c:pt>
                <c:pt idx="15">
                  <c:v>Feb-2024</c:v>
                </c:pt>
                <c:pt idx="16">
                  <c:v>Jan-2021</c:v>
                </c:pt>
                <c:pt idx="17">
                  <c:v>Jan-2022</c:v>
                </c:pt>
                <c:pt idx="18">
                  <c:v>Jan-2023</c:v>
                </c:pt>
                <c:pt idx="19">
                  <c:v>Jan-2024</c:v>
                </c:pt>
                <c:pt idx="20">
                  <c:v>Jul-2021</c:v>
                </c:pt>
                <c:pt idx="21">
                  <c:v>Jul-2022</c:v>
                </c:pt>
                <c:pt idx="22">
                  <c:v>Jul-2023</c:v>
                </c:pt>
                <c:pt idx="23">
                  <c:v>Jul-2024</c:v>
                </c:pt>
                <c:pt idx="24">
                  <c:v>Jun-2021</c:v>
                </c:pt>
                <c:pt idx="25">
                  <c:v>Jun-2022</c:v>
                </c:pt>
                <c:pt idx="26">
                  <c:v>Jun-2023</c:v>
                </c:pt>
                <c:pt idx="27">
                  <c:v>Jun-2024</c:v>
                </c:pt>
                <c:pt idx="28">
                  <c:v>Mar-2021</c:v>
                </c:pt>
                <c:pt idx="29">
                  <c:v>Mar-2022</c:v>
                </c:pt>
                <c:pt idx="30">
                  <c:v>Mar-2023</c:v>
                </c:pt>
                <c:pt idx="31">
                  <c:v>Mar-2024</c:v>
                </c:pt>
                <c:pt idx="32">
                  <c:v>May-2021</c:v>
                </c:pt>
                <c:pt idx="33">
                  <c:v>May-2022</c:v>
                </c:pt>
                <c:pt idx="34">
                  <c:v>May-2023</c:v>
                </c:pt>
                <c:pt idx="35">
                  <c:v>May-2024</c:v>
                </c:pt>
                <c:pt idx="36">
                  <c:v>Nov-2021</c:v>
                </c:pt>
                <c:pt idx="37">
                  <c:v>Nov-2022</c:v>
                </c:pt>
                <c:pt idx="38">
                  <c:v>Nov-2023</c:v>
                </c:pt>
                <c:pt idx="39">
                  <c:v>Nov-2024</c:v>
                </c:pt>
                <c:pt idx="40">
                  <c:v>Oct-2021</c:v>
                </c:pt>
                <c:pt idx="41">
                  <c:v>Oct-2022</c:v>
                </c:pt>
                <c:pt idx="42">
                  <c:v>Oct-2023</c:v>
                </c:pt>
                <c:pt idx="43">
                  <c:v>Oct-2024</c:v>
                </c:pt>
                <c:pt idx="44">
                  <c:v>Sep-2021</c:v>
                </c:pt>
                <c:pt idx="45">
                  <c:v>Sep-2022</c:v>
                </c:pt>
                <c:pt idx="46">
                  <c:v>Sep-2023</c:v>
                </c:pt>
                <c:pt idx="47">
                  <c:v>Sep-2024</c:v>
                </c:pt>
              </c:strCache>
            </c:strRef>
          </c:cat>
          <c:val>
            <c:numRef>
              <c:f>Sheet11!$B$4:$B$52</c:f>
              <c:numCache>
                <c:formatCode>[$₹-439]#,##0.00</c:formatCode>
                <c:ptCount val="48"/>
                <c:pt idx="0">
                  <c:v>400000</c:v>
                </c:pt>
                <c:pt idx="1">
                  <c:v>468000</c:v>
                </c:pt>
                <c:pt idx="2">
                  <c:v>540000</c:v>
                </c:pt>
                <c:pt idx="3">
                  <c:v>616000</c:v>
                </c:pt>
                <c:pt idx="4">
                  <c:v>600000</c:v>
                </c:pt>
                <c:pt idx="5">
                  <c:v>676000</c:v>
                </c:pt>
                <c:pt idx="6">
                  <c:v>756000</c:v>
                </c:pt>
                <c:pt idx="7">
                  <c:v>840000</c:v>
                </c:pt>
                <c:pt idx="8">
                  <c:v>800000</c:v>
                </c:pt>
                <c:pt idx="9">
                  <c:v>884000</c:v>
                </c:pt>
                <c:pt idx="10">
                  <c:v>972000</c:v>
                </c:pt>
                <c:pt idx="11">
                  <c:v>1120000</c:v>
                </c:pt>
                <c:pt idx="12">
                  <c:v>300000</c:v>
                </c:pt>
                <c:pt idx="13">
                  <c:v>364000</c:v>
                </c:pt>
                <c:pt idx="14">
                  <c:v>432000</c:v>
                </c:pt>
                <c:pt idx="15">
                  <c:v>504000</c:v>
                </c:pt>
                <c:pt idx="16">
                  <c:v>250000</c:v>
                </c:pt>
                <c:pt idx="17">
                  <c:v>312000</c:v>
                </c:pt>
                <c:pt idx="18">
                  <c:v>378000</c:v>
                </c:pt>
                <c:pt idx="19">
                  <c:v>448000</c:v>
                </c:pt>
                <c:pt idx="20">
                  <c:v>550000</c:v>
                </c:pt>
                <c:pt idx="21">
                  <c:v>624000</c:v>
                </c:pt>
                <c:pt idx="22">
                  <c:v>702000</c:v>
                </c:pt>
                <c:pt idx="23">
                  <c:v>784000</c:v>
                </c:pt>
                <c:pt idx="24">
                  <c:v>500000</c:v>
                </c:pt>
                <c:pt idx="25">
                  <c:v>572000</c:v>
                </c:pt>
                <c:pt idx="26">
                  <c:v>648000</c:v>
                </c:pt>
                <c:pt idx="27">
                  <c:v>728000</c:v>
                </c:pt>
                <c:pt idx="28">
                  <c:v>350000</c:v>
                </c:pt>
                <c:pt idx="29">
                  <c:v>416000</c:v>
                </c:pt>
                <c:pt idx="30">
                  <c:v>486000</c:v>
                </c:pt>
                <c:pt idx="31">
                  <c:v>560000</c:v>
                </c:pt>
                <c:pt idx="32">
                  <c:v>450000</c:v>
                </c:pt>
                <c:pt idx="33">
                  <c:v>520000</c:v>
                </c:pt>
                <c:pt idx="34">
                  <c:v>594000</c:v>
                </c:pt>
                <c:pt idx="35">
                  <c:v>672000</c:v>
                </c:pt>
                <c:pt idx="36">
                  <c:v>750000</c:v>
                </c:pt>
                <c:pt idx="37">
                  <c:v>832000</c:v>
                </c:pt>
                <c:pt idx="38">
                  <c:v>918000</c:v>
                </c:pt>
                <c:pt idx="39">
                  <c:v>1008000</c:v>
                </c:pt>
                <c:pt idx="40">
                  <c:v>700000</c:v>
                </c:pt>
                <c:pt idx="41">
                  <c:v>780000</c:v>
                </c:pt>
                <c:pt idx="42">
                  <c:v>864000</c:v>
                </c:pt>
                <c:pt idx="43">
                  <c:v>952000</c:v>
                </c:pt>
                <c:pt idx="44">
                  <c:v>650000</c:v>
                </c:pt>
                <c:pt idx="45">
                  <c:v>728000</c:v>
                </c:pt>
                <c:pt idx="46">
                  <c:v>810000</c:v>
                </c:pt>
                <c:pt idx="47">
                  <c:v>896000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FC-4000-A248-2F13E9957BC3}"/>
            </c:ext>
          </c:extLst>
        </c:ser>
        <c:ser>
          <c:idx val="1"/>
          <c:order val="1"/>
          <c:tx>
            <c:strRef>
              <c:f>Sheet11!$C$3</c:f>
              <c:strCache>
                <c:ptCount val="1"/>
                <c:pt idx="0">
                  <c:v>Sum of 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Sheet11!$A$4:$A$52</c:f>
              <c:strCache>
                <c:ptCount val="48"/>
                <c:pt idx="0">
                  <c:v>Apr-2021</c:v>
                </c:pt>
                <c:pt idx="1">
                  <c:v>Apr-2022</c:v>
                </c:pt>
                <c:pt idx="2">
                  <c:v>Apr-2023</c:v>
                </c:pt>
                <c:pt idx="3">
                  <c:v>Apr-2024</c:v>
                </c:pt>
                <c:pt idx="4">
                  <c:v>Aug-2021</c:v>
                </c:pt>
                <c:pt idx="5">
                  <c:v>Aug-2022</c:v>
                </c:pt>
                <c:pt idx="6">
                  <c:v>Aug-2023</c:v>
                </c:pt>
                <c:pt idx="7">
                  <c:v>Aug-2024</c:v>
                </c:pt>
                <c:pt idx="8">
                  <c:v>Dec-2021</c:v>
                </c:pt>
                <c:pt idx="9">
                  <c:v>Dec-2022</c:v>
                </c:pt>
                <c:pt idx="10">
                  <c:v>Dec-2023</c:v>
                </c:pt>
                <c:pt idx="11">
                  <c:v>Dec-2024</c:v>
                </c:pt>
                <c:pt idx="12">
                  <c:v>Feb-2021</c:v>
                </c:pt>
                <c:pt idx="13">
                  <c:v>Feb-2022</c:v>
                </c:pt>
                <c:pt idx="14">
                  <c:v>Feb-2023</c:v>
                </c:pt>
                <c:pt idx="15">
                  <c:v>Feb-2024</c:v>
                </c:pt>
                <c:pt idx="16">
                  <c:v>Jan-2021</c:v>
                </c:pt>
                <c:pt idx="17">
                  <c:v>Jan-2022</c:v>
                </c:pt>
                <c:pt idx="18">
                  <c:v>Jan-2023</c:v>
                </c:pt>
                <c:pt idx="19">
                  <c:v>Jan-2024</c:v>
                </c:pt>
                <c:pt idx="20">
                  <c:v>Jul-2021</c:v>
                </c:pt>
                <c:pt idx="21">
                  <c:v>Jul-2022</c:v>
                </c:pt>
                <c:pt idx="22">
                  <c:v>Jul-2023</c:v>
                </c:pt>
                <c:pt idx="23">
                  <c:v>Jul-2024</c:v>
                </c:pt>
                <c:pt idx="24">
                  <c:v>Jun-2021</c:v>
                </c:pt>
                <c:pt idx="25">
                  <c:v>Jun-2022</c:v>
                </c:pt>
                <c:pt idx="26">
                  <c:v>Jun-2023</c:v>
                </c:pt>
                <c:pt idx="27">
                  <c:v>Jun-2024</c:v>
                </c:pt>
                <c:pt idx="28">
                  <c:v>Mar-2021</c:v>
                </c:pt>
                <c:pt idx="29">
                  <c:v>Mar-2022</c:v>
                </c:pt>
                <c:pt idx="30">
                  <c:v>Mar-2023</c:v>
                </c:pt>
                <c:pt idx="31">
                  <c:v>Mar-2024</c:v>
                </c:pt>
                <c:pt idx="32">
                  <c:v>May-2021</c:v>
                </c:pt>
                <c:pt idx="33">
                  <c:v>May-2022</c:v>
                </c:pt>
                <c:pt idx="34">
                  <c:v>May-2023</c:v>
                </c:pt>
                <c:pt idx="35">
                  <c:v>May-2024</c:v>
                </c:pt>
                <c:pt idx="36">
                  <c:v>Nov-2021</c:v>
                </c:pt>
                <c:pt idx="37">
                  <c:v>Nov-2022</c:v>
                </c:pt>
                <c:pt idx="38">
                  <c:v>Nov-2023</c:v>
                </c:pt>
                <c:pt idx="39">
                  <c:v>Nov-2024</c:v>
                </c:pt>
                <c:pt idx="40">
                  <c:v>Oct-2021</c:v>
                </c:pt>
                <c:pt idx="41">
                  <c:v>Oct-2022</c:v>
                </c:pt>
                <c:pt idx="42">
                  <c:v>Oct-2023</c:v>
                </c:pt>
                <c:pt idx="43">
                  <c:v>Oct-2024</c:v>
                </c:pt>
                <c:pt idx="44">
                  <c:v>Sep-2021</c:v>
                </c:pt>
                <c:pt idx="45">
                  <c:v>Sep-2022</c:v>
                </c:pt>
                <c:pt idx="46">
                  <c:v>Sep-2023</c:v>
                </c:pt>
                <c:pt idx="47">
                  <c:v>Sep-2024</c:v>
                </c:pt>
              </c:strCache>
            </c:strRef>
          </c:cat>
          <c:val>
            <c:numRef>
              <c:f>Sheet11!$C$4:$C$52</c:f>
              <c:numCache>
                <c:formatCode>[$₹-439]#,##0.00</c:formatCode>
                <c:ptCount val="48"/>
                <c:pt idx="0">
                  <c:v>411000</c:v>
                </c:pt>
                <c:pt idx="1">
                  <c:v>451000</c:v>
                </c:pt>
                <c:pt idx="2">
                  <c:v>500000</c:v>
                </c:pt>
                <c:pt idx="3">
                  <c:v>550000</c:v>
                </c:pt>
                <c:pt idx="4">
                  <c:v>519000</c:v>
                </c:pt>
                <c:pt idx="5">
                  <c:v>559000</c:v>
                </c:pt>
                <c:pt idx="6">
                  <c:v>616000</c:v>
                </c:pt>
                <c:pt idx="7">
                  <c:v>670000</c:v>
                </c:pt>
                <c:pt idx="8">
                  <c:v>627000</c:v>
                </c:pt>
                <c:pt idx="9">
                  <c:v>667000</c:v>
                </c:pt>
                <c:pt idx="10">
                  <c:v>732000</c:v>
                </c:pt>
                <c:pt idx="11">
                  <c:v>820000</c:v>
                </c:pt>
                <c:pt idx="12">
                  <c:v>357000</c:v>
                </c:pt>
                <c:pt idx="13">
                  <c:v>397000</c:v>
                </c:pt>
                <c:pt idx="14">
                  <c:v>442000</c:v>
                </c:pt>
                <c:pt idx="15">
                  <c:v>490000</c:v>
                </c:pt>
                <c:pt idx="16">
                  <c:v>330000</c:v>
                </c:pt>
                <c:pt idx="17">
                  <c:v>370000</c:v>
                </c:pt>
                <c:pt idx="18">
                  <c:v>413000</c:v>
                </c:pt>
                <c:pt idx="19">
                  <c:v>460000</c:v>
                </c:pt>
                <c:pt idx="20">
                  <c:v>492000</c:v>
                </c:pt>
                <c:pt idx="21">
                  <c:v>532000</c:v>
                </c:pt>
                <c:pt idx="22">
                  <c:v>587000</c:v>
                </c:pt>
                <c:pt idx="23">
                  <c:v>640000</c:v>
                </c:pt>
                <c:pt idx="24">
                  <c:v>465000</c:v>
                </c:pt>
                <c:pt idx="25">
                  <c:v>505000</c:v>
                </c:pt>
                <c:pt idx="26">
                  <c:v>558000</c:v>
                </c:pt>
                <c:pt idx="27">
                  <c:v>610000</c:v>
                </c:pt>
                <c:pt idx="28">
                  <c:v>384000</c:v>
                </c:pt>
                <c:pt idx="29">
                  <c:v>424000</c:v>
                </c:pt>
                <c:pt idx="30">
                  <c:v>471000</c:v>
                </c:pt>
                <c:pt idx="31">
                  <c:v>520000</c:v>
                </c:pt>
                <c:pt idx="32">
                  <c:v>438000</c:v>
                </c:pt>
                <c:pt idx="33">
                  <c:v>478000</c:v>
                </c:pt>
                <c:pt idx="34">
                  <c:v>529000</c:v>
                </c:pt>
                <c:pt idx="35">
                  <c:v>580000</c:v>
                </c:pt>
                <c:pt idx="36">
                  <c:v>600000</c:v>
                </c:pt>
                <c:pt idx="37">
                  <c:v>640000</c:v>
                </c:pt>
                <c:pt idx="38">
                  <c:v>703000</c:v>
                </c:pt>
                <c:pt idx="39">
                  <c:v>760000</c:v>
                </c:pt>
                <c:pt idx="40">
                  <c:v>573000</c:v>
                </c:pt>
                <c:pt idx="41">
                  <c:v>613000</c:v>
                </c:pt>
                <c:pt idx="42">
                  <c:v>674000</c:v>
                </c:pt>
                <c:pt idx="43">
                  <c:v>730000</c:v>
                </c:pt>
                <c:pt idx="44">
                  <c:v>546000</c:v>
                </c:pt>
                <c:pt idx="45">
                  <c:v>586000</c:v>
                </c:pt>
                <c:pt idx="46">
                  <c:v>645000</c:v>
                </c:pt>
                <c:pt idx="47">
                  <c:v>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FC-4000-A248-2F13E9957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773296"/>
        <c:axId val="689774256"/>
      </c:lineChart>
      <c:catAx>
        <c:axId val="68977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74256"/>
        <c:crosses val="autoZero"/>
        <c:auto val="1"/>
        <c:lblAlgn val="ctr"/>
        <c:lblOffset val="100"/>
        <c:noMultiLvlLbl val="0"/>
      </c:catAx>
      <c:valAx>
        <c:axId val="68977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7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[Financial Modeling Dashboard.xlsx]Sheet12!PivotTable14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Sheet12!$A$4:$A$52</c:f>
              <c:strCache>
                <c:ptCount val="48"/>
                <c:pt idx="0">
                  <c:v>Apr-2021</c:v>
                </c:pt>
                <c:pt idx="1">
                  <c:v>Apr-2022</c:v>
                </c:pt>
                <c:pt idx="2">
                  <c:v>Apr-2023</c:v>
                </c:pt>
                <c:pt idx="3">
                  <c:v>Apr-2024</c:v>
                </c:pt>
                <c:pt idx="4">
                  <c:v>Aug-2021</c:v>
                </c:pt>
                <c:pt idx="5">
                  <c:v>Aug-2022</c:v>
                </c:pt>
                <c:pt idx="6">
                  <c:v>Aug-2023</c:v>
                </c:pt>
                <c:pt idx="7">
                  <c:v>Aug-2024</c:v>
                </c:pt>
                <c:pt idx="8">
                  <c:v>Dec-2021</c:v>
                </c:pt>
                <c:pt idx="9">
                  <c:v>Dec-2022</c:v>
                </c:pt>
                <c:pt idx="10">
                  <c:v>Dec-2023</c:v>
                </c:pt>
                <c:pt idx="11">
                  <c:v>Dec-2024</c:v>
                </c:pt>
                <c:pt idx="12">
                  <c:v>Feb-2021</c:v>
                </c:pt>
                <c:pt idx="13">
                  <c:v>Feb-2022</c:v>
                </c:pt>
                <c:pt idx="14">
                  <c:v>Feb-2023</c:v>
                </c:pt>
                <c:pt idx="15">
                  <c:v>Feb-2024</c:v>
                </c:pt>
                <c:pt idx="16">
                  <c:v>Jan-2021</c:v>
                </c:pt>
                <c:pt idx="17">
                  <c:v>Jan-2022</c:v>
                </c:pt>
                <c:pt idx="18">
                  <c:v>Jan-2023</c:v>
                </c:pt>
                <c:pt idx="19">
                  <c:v>Jan-2024</c:v>
                </c:pt>
                <c:pt idx="20">
                  <c:v>Jul-2021</c:v>
                </c:pt>
                <c:pt idx="21">
                  <c:v>Jul-2022</c:v>
                </c:pt>
                <c:pt idx="22">
                  <c:v>Jul-2023</c:v>
                </c:pt>
                <c:pt idx="23">
                  <c:v>Jul-2024</c:v>
                </c:pt>
                <c:pt idx="24">
                  <c:v>Jun-2021</c:v>
                </c:pt>
                <c:pt idx="25">
                  <c:v>Jun-2022</c:v>
                </c:pt>
                <c:pt idx="26">
                  <c:v>Jun-2023</c:v>
                </c:pt>
                <c:pt idx="27">
                  <c:v>Jun-2024</c:v>
                </c:pt>
                <c:pt idx="28">
                  <c:v>Mar-2021</c:v>
                </c:pt>
                <c:pt idx="29">
                  <c:v>Mar-2022</c:v>
                </c:pt>
                <c:pt idx="30">
                  <c:v>Mar-2023</c:v>
                </c:pt>
                <c:pt idx="31">
                  <c:v>Mar-2024</c:v>
                </c:pt>
                <c:pt idx="32">
                  <c:v>May-2021</c:v>
                </c:pt>
                <c:pt idx="33">
                  <c:v>May-2022</c:v>
                </c:pt>
                <c:pt idx="34">
                  <c:v>May-2023</c:v>
                </c:pt>
                <c:pt idx="35">
                  <c:v>May-2024</c:v>
                </c:pt>
                <c:pt idx="36">
                  <c:v>Nov-2021</c:v>
                </c:pt>
                <c:pt idx="37">
                  <c:v>Nov-2022</c:v>
                </c:pt>
                <c:pt idx="38">
                  <c:v>Nov-2023</c:v>
                </c:pt>
                <c:pt idx="39">
                  <c:v>Nov-2024</c:v>
                </c:pt>
                <c:pt idx="40">
                  <c:v>Oct-2021</c:v>
                </c:pt>
                <c:pt idx="41">
                  <c:v>Oct-2022</c:v>
                </c:pt>
                <c:pt idx="42">
                  <c:v>Oct-2023</c:v>
                </c:pt>
                <c:pt idx="43">
                  <c:v>Oct-2024</c:v>
                </c:pt>
                <c:pt idx="44">
                  <c:v>Sep-2021</c:v>
                </c:pt>
                <c:pt idx="45">
                  <c:v>Sep-2022</c:v>
                </c:pt>
                <c:pt idx="46">
                  <c:v>Sep-2023</c:v>
                </c:pt>
                <c:pt idx="47">
                  <c:v>Sep-2024</c:v>
                </c:pt>
              </c:strCache>
            </c:strRef>
          </c:cat>
          <c:val>
            <c:numRef>
              <c:f>Sheet12!$B$4:$B$52</c:f>
              <c:numCache>
                <c:formatCode>[$₹-439]#,##0.00</c:formatCode>
                <c:ptCount val="48"/>
                <c:pt idx="0">
                  <c:v>-11000</c:v>
                </c:pt>
                <c:pt idx="1">
                  <c:v>17000</c:v>
                </c:pt>
                <c:pt idx="2">
                  <c:v>40000</c:v>
                </c:pt>
                <c:pt idx="3">
                  <c:v>66000</c:v>
                </c:pt>
                <c:pt idx="4">
                  <c:v>81000</c:v>
                </c:pt>
                <c:pt idx="5">
                  <c:v>117000</c:v>
                </c:pt>
                <c:pt idx="6">
                  <c:v>140000</c:v>
                </c:pt>
                <c:pt idx="7">
                  <c:v>170000</c:v>
                </c:pt>
                <c:pt idx="8">
                  <c:v>173000</c:v>
                </c:pt>
                <c:pt idx="9">
                  <c:v>217000</c:v>
                </c:pt>
                <c:pt idx="10">
                  <c:v>240000</c:v>
                </c:pt>
                <c:pt idx="11">
                  <c:v>300000</c:v>
                </c:pt>
                <c:pt idx="12">
                  <c:v>-57000</c:v>
                </c:pt>
                <c:pt idx="13">
                  <c:v>-33000</c:v>
                </c:pt>
                <c:pt idx="14">
                  <c:v>-10000</c:v>
                </c:pt>
                <c:pt idx="15">
                  <c:v>14000</c:v>
                </c:pt>
                <c:pt idx="16">
                  <c:v>-80000</c:v>
                </c:pt>
                <c:pt idx="17">
                  <c:v>-58000</c:v>
                </c:pt>
                <c:pt idx="18">
                  <c:v>-35000</c:v>
                </c:pt>
                <c:pt idx="19">
                  <c:v>-12000</c:v>
                </c:pt>
                <c:pt idx="20">
                  <c:v>58000</c:v>
                </c:pt>
                <c:pt idx="21">
                  <c:v>92000</c:v>
                </c:pt>
                <c:pt idx="22">
                  <c:v>115000</c:v>
                </c:pt>
                <c:pt idx="23">
                  <c:v>144000</c:v>
                </c:pt>
                <c:pt idx="24">
                  <c:v>35000</c:v>
                </c:pt>
                <c:pt idx="25">
                  <c:v>67000</c:v>
                </c:pt>
                <c:pt idx="26">
                  <c:v>90000</c:v>
                </c:pt>
                <c:pt idx="27">
                  <c:v>118000</c:v>
                </c:pt>
                <c:pt idx="28">
                  <c:v>-34000</c:v>
                </c:pt>
                <c:pt idx="29">
                  <c:v>-8000</c:v>
                </c:pt>
                <c:pt idx="30">
                  <c:v>15000</c:v>
                </c:pt>
                <c:pt idx="31">
                  <c:v>40000</c:v>
                </c:pt>
                <c:pt idx="32">
                  <c:v>12000</c:v>
                </c:pt>
                <c:pt idx="33">
                  <c:v>42000</c:v>
                </c:pt>
                <c:pt idx="34">
                  <c:v>65000</c:v>
                </c:pt>
                <c:pt idx="35">
                  <c:v>92000</c:v>
                </c:pt>
                <c:pt idx="36">
                  <c:v>150000</c:v>
                </c:pt>
                <c:pt idx="37">
                  <c:v>192000</c:v>
                </c:pt>
                <c:pt idx="38">
                  <c:v>215000</c:v>
                </c:pt>
                <c:pt idx="39">
                  <c:v>248000</c:v>
                </c:pt>
                <c:pt idx="40">
                  <c:v>127000</c:v>
                </c:pt>
                <c:pt idx="41">
                  <c:v>167000</c:v>
                </c:pt>
                <c:pt idx="42">
                  <c:v>190000</c:v>
                </c:pt>
                <c:pt idx="43">
                  <c:v>222000</c:v>
                </c:pt>
                <c:pt idx="44">
                  <c:v>104000</c:v>
                </c:pt>
                <c:pt idx="45">
                  <c:v>142000</c:v>
                </c:pt>
                <c:pt idx="46">
                  <c:v>165000</c:v>
                </c:pt>
                <c:pt idx="47">
                  <c:v>196000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6-4F03-A933-F4E5695DE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090400"/>
        <c:axId val="869090880"/>
      </c:barChart>
      <c:catAx>
        <c:axId val="86909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90880"/>
        <c:crosses val="autoZero"/>
        <c:auto val="1"/>
        <c:lblAlgn val="ctr"/>
        <c:lblOffset val="100"/>
        <c:noMultiLvlLbl val="0"/>
      </c:catAx>
      <c:valAx>
        <c:axId val="8690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9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Break-Even</a:t>
            </a:r>
            <a:r>
              <a:rPr lang="en-US" baseline="0"/>
              <a:t> Chart</a:t>
            </a:r>
            <a:endParaRPr lang="en-US"/>
          </a:p>
        </c:rich>
      </c:tx>
      <c:layout>
        <c:manualLayout>
          <c:xMode val="edge"/>
          <c:yMode val="edge"/>
          <c:x val="0.34004855643044624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35870516185477"/>
          <c:y val="0.30076443569553807"/>
          <c:w val="0.85219685039370074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Sheet14!$B$1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Sheet14!$A$2:$A$7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cat>
          <c:val>
            <c:numRef>
              <c:f>Sheet14!$B$2:$B$7</c:f>
              <c:numCache>
                <c:formatCode>General</c:formatCode>
                <c:ptCount val="6"/>
                <c:pt idx="0">
                  <c:v>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5-4EC5-B1A8-C1E91DE23201}"/>
            </c:ext>
          </c:extLst>
        </c:ser>
        <c:ser>
          <c:idx val="1"/>
          <c:order val="1"/>
          <c:tx>
            <c:strRef>
              <c:f>Sheet14!$C$1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Sheet14!$A$2:$A$7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cat>
          <c:val>
            <c:numRef>
              <c:f>Sheet14!$C$2:$C$7</c:f>
              <c:numCache>
                <c:formatCode>General</c:formatCode>
                <c:ptCount val="6"/>
                <c:pt idx="0">
                  <c:v>200000</c:v>
                </c:pt>
                <c:pt idx="1">
                  <c:v>244000</c:v>
                </c:pt>
                <c:pt idx="2">
                  <c:v>288000</c:v>
                </c:pt>
                <c:pt idx="3">
                  <c:v>332000</c:v>
                </c:pt>
                <c:pt idx="4">
                  <c:v>376000</c:v>
                </c:pt>
                <c:pt idx="5">
                  <c:v>420000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75-4EC5-B1A8-C1E91DE23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298176"/>
        <c:axId val="767295296"/>
      </c:lineChart>
      <c:catAx>
        <c:axId val="76729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95296"/>
        <c:crosses val="autoZero"/>
        <c:auto val="1"/>
        <c:lblAlgn val="ctr"/>
        <c:lblOffset val="100"/>
        <c:noMultiLvlLbl val="0"/>
      </c:catAx>
      <c:valAx>
        <c:axId val="7672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9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Waterfall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Waterfall chart</a:t>
          </a:r>
        </a:p>
      </cx:txPr>
    </cx:title>
    <cx:plotArea>
      <cx:plotAreaRegion>
        <cx:series layoutId="waterfall" uniqueId="{0950BFAA-56F8-4D93-863B-0587BD8BC8BD}">
          <cx:tx>
            <cx:txData>
              <cx:f>_xlchart.v1.1</cx:f>
              <cx:v>Values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  <cx:spPr>
    <a:ln>
      <a:solidFill>
        <a:schemeClr val="tx2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Waterfall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Waterfa</a:t>
          </a:r>
        </a:p>
      </cx:txPr>
    </cx:title>
    <cx:plotArea>
      <cx:plotAreaRegion>
        <cx:series layoutId="waterfall" uniqueId="{0950BFAA-56F8-4D93-863B-0587BD8BC8BD}">
          <cx:tx>
            <cx:txData>
              <cx:f>_xlchart.v1.7</cx:f>
              <cx:v>Values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22411</xdr:rowOff>
    </xdr:from>
    <xdr:to>
      <xdr:col>1</xdr:col>
      <xdr:colOff>139391</xdr:colOff>
      <xdr:row>22</xdr:row>
      <xdr:rowOff>160634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5A95868-D57D-4DCF-833D-3B2527414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727279</xdr:colOff>
      <xdr:row>8</xdr:row>
      <xdr:rowOff>86380</xdr:rowOff>
    </xdr:from>
    <xdr:to>
      <xdr:col>7</xdr:col>
      <xdr:colOff>2113784</xdr:colOff>
      <xdr:row>22</xdr:row>
      <xdr:rowOff>224603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33F7F4D-74A4-4865-9EDD-645E177AB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49695</xdr:rowOff>
    </xdr:from>
    <xdr:to>
      <xdr:col>1</xdr:col>
      <xdr:colOff>132522</xdr:colOff>
      <xdr:row>44</xdr:row>
      <xdr:rowOff>49696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046DA32-F268-4F36-AAC5-759169E6D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944218</xdr:colOff>
      <xdr:row>27</xdr:row>
      <xdr:rowOff>0</xdr:rowOff>
    </xdr:from>
    <xdr:to>
      <xdr:col>8</xdr:col>
      <xdr:colOff>33131</xdr:colOff>
      <xdr:row>44</xdr:row>
      <xdr:rowOff>16565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EF4F35F2-40D1-4A32-8279-80C685E0B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5522" y="7951304"/>
              <a:ext cx="7934739" cy="4273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31</xdr:row>
      <xdr:rowOff>41910</xdr:rowOff>
    </xdr:from>
    <xdr:to>
      <xdr:col>10</xdr:col>
      <xdr:colOff>464820</xdr:colOff>
      <xdr:row>46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2296A-3C38-3D56-EFD1-B2598805E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6</xdr:row>
      <xdr:rowOff>41910</xdr:rowOff>
    </xdr:from>
    <xdr:to>
      <xdr:col>11</xdr:col>
      <xdr:colOff>297180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21D9D-1940-B43C-BE9A-9CC162E0A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6</xdr:row>
      <xdr:rowOff>156210</xdr:rowOff>
    </xdr:from>
    <xdr:to>
      <xdr:col>7</xdr:col>
      <xdr:colOff>464820</xdr:colOff>
      <xdr:row>21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10FC7F-CD45-FF58-9DE0-48591304C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464820</xdr:colOff>
      <xdr:row>6</xdr:row>
      <xdr:rowOff>125730</xdr:rowOff>
    </xdr:from>
    <xdr:to>
      <xdr:col>15</xdr:col>
      <xdr:colOff>457200</xdr:colOff>
      <xdr:row>21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A3DC1AF-22B6-9661-55CB-EE3D1E1F40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1620" y="1223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kan Yadav" refreshedDate="46129.629228935184" createdVersion="8" refreshedVersion="8" minRefreshableVersion="3" recordCount="48" xr:uid="{97ED1DA3-88C2-4E3A-939A-04774BF75727}">
  <cacheSource type="worksheet">
    <worksheetSource ref="A1:E49" sheet="Calculation"/>
  </cacheSource>
  <cacheFields count="5">
    <cacheField name="Month" numFmtId="0">
      <sharedItems count="48">
        <s v="Jan-2021"/>
        <s v="Feb-2021"/>
        <s v="Mar-2021"/>
        <s v="Apr-2021"/>
        <s v="May-2021"/>
        <s v="Jun-2021"/>
        <s v="Jul-2021"/>
        <s v="Aug-2021"/>
        <s v="Sep-2021"/>
        <s v="Oct-2021"/>
        <s v="Nov-2021"/>
        <s v="Dec-2021"/>
        <s v="Jan-2022"/>
        <s v="Feb-2022"/>
        <s v="Mar-2022"/>
        <s v="Apr-2022"/>
        <s v="May-2022"/>
        <s v="Jun-2022"/>
        <s v="Jul-2022"/>
        <s v="Aug-2022"/>
        <s v="Sep-2022"/>
        <s v="Oct-2022"/>
        <s v="Nov-2022"/>
        <s v="Dec-2022"/>
        <s v="Jan-2023"/>
        <s v="Feb-2023"/>
        <s v="Mar-2023"/>
        <s v="Apr-2023"/>
        <s v="May-2023"/>
        <s v="Jun-2023"/>
        <s v="Jul-2023"/>
        <s v="Aug-2023"/>
        <s v="Sep-2023"/>
        <s v="Oct-2023"/>
        <s v="Nov-2023"/>
        <s v="Dec-2023"/>
        <s v="Jan-2024"/>
        <s v="Feb-2024"/>
        <s v="Mar-2024"/>
        <s v="Apr-2024"/>
        <s v="May-2024"/>
        <s v="Jun-2024"/>
        <s v="Jul-2024"/>
        <s v="Aug-2024"/>
        <s v="Sep-2024"/>
        <s v="Oct-2024"/>
        <s v="Nov-2024"/>
        <s v="Dec-2024"/>
      </sharedItems>
    </cacheField>
    <cacheField name="Revenue" numFmtId="164">
      <sharedItems containsSemiMixedTypes="0" containsString="0" containsNumber="1" containsInteger="1" minValue="250000" maxValue="1120000"/>
    </cacheField>
    <cacheField name="Total Variable Cost" numFmtId="164">
      <sharedItems containsSemiMixedTypes="0" containsString="0" containsNumber="1" containsInteger="1" minValue="110000" maxValue="500000"/>
    </cacheField>
    <cacheField name="Total Cost" numFmtId="164">
      <sharedItems containsSemiMixedTypes="0" containsString="0" containsNumber="1" containsInteger="1" minValue="330000" maxValue="820000"/>
    </cacheField>
    <cacheField name="Profit" numFmtId="164">
      <sharedItems containsSemiMixedTypes="0" containsString="0" containsNumber="1" containsInteger="1" minValue="-800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250000"/>
    <n v="110000"/>
    <n v="330000"/>
    <n v="-80000"/>
  </r>
  <r>
    <x v="1"/>
    <n v="300000"/>
    <n v="132000"/>
    <n v="357000"/>
    <n v="-57000"/>
  </r>
  <r>
    <x v="2"/>
    <n v="350000"/>
    <n v="154000"/>
    <n v="384000"/>
    <n v="-34000"/>
  </r>
  <r>
    <x v="3"/>
    <n v="400000"/>
    <n v="176000"/>
    <n v="411000"/>
    <n v="-11000"/>
  </r>
  <r>
    <x v="4"/>
    <n v="450000"/>
    <n v="198000"/>
    <n v="438000"/>
    <n v="12000"/>
  </r>
  <r>
    <x v="5"/>
    <n v="500000"/>
    <n v="220000"/>
    <n v="465000"/>
    <n v="35000"/>
  </r>
  <r>
    <x v="6"/>
    <n v="550000"/>
    <n v="242000"/>
    <n v="492000"/>
    <n v="58000"/>
  </r>
  <r>
    <x v="7"/>
    <n v="600000"/>
    <n v="264000"/>
    <n v="519000"/>
    <n v="81000"/>
  </r>
  <r>
    <x v="8"/>
    <n v="650000"/>
    <n v="286000"/>
    <n v="546000"/>
    <n v="104000"/>
  </r>
  <r>
    <x v="9"/>
    <n v="700000"/>
    <n v="308000"/>
    <n v="573000"/>
    <n v="127000"/>
  </r>
  <r>
    <x v="10"/>
    <n v="750000"/>
    <n v="330000"/>
    <n v="600000"/>
    <n v="150000"/>
  </r>
  <r>
    <x v="11"/>
    <n v="800000"/>
    <n v="352000"/>
    <n v="627000"/>
    <n v="173000"/>
  </r>
  <r>
    <x v="12"/>
    <n v="312000"/>
    <n v="138000"/>
    <n v="370000"/>
    <n v="-58000"/>
  </r>
  <r>
    <x v="13"/>
    <n v="364000"/>
    <n v="161000"/>
    <n v="397000"/>
    <n v="-33000"/>
  </r>
  <r>
    <x v="14"/>
    <n v="416000"/>
    <n v="184000"/>
    <n v="424000"/>
    <n v="-8000"/>
  </r>
  <r>
    <x v="15"/>
    <n v="468000"/>
    <n v="207000"/>
    <n v="451000"/>
    <n v="17000"/>
  </r>
  <r>
    <x v="16"/>
    <n v="520000"/>
    <n v="230000"/>
    <n v="478000"/>
    <n v="42000"/>
  </r>
  <r>
    <x v="17"/>
    <n v="572000"/>
    <n v="253000"/>
    <n v="505000"/>
    <n v="67000"/>
  </r>
  <r>
    <x v="18"/>
    <n v="624000"/>
    <n v="276000"/>
    <n v="532000"/>
    <n v="92000"/>
  </r>
  <r>
    <x v="19"/>
    <n v="676000"/>
    <n v="299000"/>
    <n v="559000"/>
    <n v="117000"/>
  </r>
  <r>
    <x v="20"/>
    <n v="728000"/>
    <n v="322000"/>
    <n v="586000"/>
    <n v="142000"/>
  </r>
  <r>
    <x v="21"/>
    <n v="780000"/>
    <n v="345000"/>
    <n v="613000"/>
    <n v="167000"/>
  </r>
  <r>
    <x v="22"/>
    <n v="832000"/>
    <n v="368000"/>
    <n v="640000"/>
    <n v="192000"/>
  </r>
  <r>
    <x v="23"/>
    <n v="884000"/>
    <n v="391000"/>
    <n v="667000"/>
    <n v="217000"/>
  </r>
  <r>
    <x v="24"/>
    <n v="378000"/>
    <n v="168000"/>
    <n v="413000"/>
    <n v="-35000"/>
  </r>
  <r>
    <x v="25"/>
    <n v="432000"/>
    <n v="192000"/>
    <n v="442000"/>
    <n v="-10000"/>
  </r>
  <r>
    <x v="26"/>
    <n v="486000"/>
    <n v="216000"/>
    <n v="471000"/>
    <n v="15000"/>
  </r>
  <r>
    <x v="27"/>
    <n v="540000"/>
    <n v="240000"/>
    <n v="500000"/>
    <n v="40000"/>
  </r>
  <r>
    <x v="28"/>
    <n v="594000"/>
    <n v="264000"/>
    <n v="529000"/>
    <n v="65000"/>
  </r>
  <r>
    <x v="29"/>
    <n v="648000"/>
    <n v="288000"/>
    <n v="558000"/>
    <n v="90000"/>
  </r>
  <r>
    <x v="30"/>
    <n v="702000"/>
    <n v="312000"/>
    <n v="587000"/>
    <n v="115000"/>
  </r>
  <r>
    <x v="31"/>
    <n v="756000"/>
    <n v="336000"/>
    <n v="616000"/>
    <n v="140000"/>
  </r>
  <r>
    <x v="32"/>
    <n v="810000"/>
    <n v="360000"/>
    <n v="645000"/>
    <n v="165000"/>
  </r>
  <r>
    <x v="33"/>
    <n v="864000"/>
    <n v="384000"/>
    <n v="674000"/>
    <n v="190000"/>
  </r>
  <r>
    <x v="34"/>
    <n v="918000"/>
    <n v="408000"/>
    <n v="703000"/>
    <n v="215000"/>
  </r>
  <r>
    <x v="35"/>
    <n v="972000"/>
    <n v="432000"/>
    <n v="732000"/>
    <n v="240000"/>
  </r>
  <r>
    <x v="36"/>
    <n v="448000"/>
    <n v="200000"/>
    <n v="460000"/>
    <n v="-12000"/>
  </r>
  <r>
    <x v="37"/>
    <n v="504000"/>
    <n v="225000"/>
    <n v="490000"/>
    <n v="14000"/>
  </r>
  <r>
    <x v="38"/>
    <n v="560000"/>
    <n v="250000"/>
    <n v="520000"/>
    <n v="40000"/>
  </r>
  <r>
    <x v="39"/>
    <n v="616000"/>
    <n v="275000"/>
    <n v="550000"/>
    <n v="66000"/>
  </r>
  <r>
    <x v="40"/>
    <n v="672000"/>
    <n v="300000"/>
    <n v="580000"/>
    <n v="92000"/>
  </r>
  <r>
    <x v="41"/>
    <n v="728000"/>
    <n v="325000"/>
    <n v="610000"/>
    <n v="118000"/>
  </r>
  <r>
    <x v="42"/>
    <n v="784000"/>
    <n v="350000"/>
    <n v="640000"/>
    <n v="144000"/>
  </r>
  <r>
    <x v="43"/>
    <n v="840000"/>
    <n v="375000"/>
    <n v="670000"/>
    <n v="170000"/>
  </r>
  <r>
    <x v="44"/>
    <n v="896000"/>
    <n v="400000"/>
    <n v="700000"/>
    <n v="196000"/>
  </r>
  <r>
    <x v="45"/>
    <n v="952000"/>
    <n v="425000"/>
    <n v="730000"/>
    <n v="222000"/>
  </r>
  <r>
    <x v="46"/>
    <n v="1008000"/>
    <n v="450000"/>
    <n v="760000"/>
    <n v="248000"/>
  </r>
  <r>
    <x v="47"/>
    <n v="1120000"/>
    <n v="500000"/>
    <n v="820000"/>
    <n v="3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968D2-4207-4508-8FC4-D08935955F30}" name="PivotTable1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52" firstHeaderRow="0" firstDataRow="1" firstDataCol="1"/>
  <pivotFields count="5">
    <pivotField axis="axisRow" showAll="0">
      <items count="49">
        <item x="3"/>
        <item x="15"/>
        <item x="27"/>
        <item x="39"/>
        <item x="7"/>
        <item x="19"/>
        <item x="31"/>
        <item x="43"/>
        <item x="11"/>
        <item x="23"/>
        <item x="35"/>
        <item x="47"/>
        <item x="1"/>
        <item x="13"/>
        <item x="25"/>
        <item x="37"/>
        <item x="0"/>
        <item x="12"/>
        <item x="24"/>
        <item x="36"/>
        <item x="6"/>
        <item x="18"/>
        <item x="30"/>
        <item x="42"/>
        <item x="5"/>
        <item x="17"/>
        <item x="29"/>
        <item x="41"/>
        <item x="2"/>
        <item x="14"/>
        <item x="26"/>
        <item x="38"/>
        <item x="4"/>
        <item x="16"/>
        <item x="28"/>
        <item x="40"/>
        <item x="10"/>
        <item x="22"/>
        <item x="34"/>
        <item x="46"/>
        <item x="9"/>
        <item x="21"/>
        <item x="33"/>
        <item x="45"/>
        <item x="8"/>
        <item x="20"/>
        <item x="32"/>
        <item x="44"/>
        <item t="default"/>
      </items>
    </pivotField>
    <pivotField dataField="1" numFmtId="164" showAll="0"/>
    <pivotField numFmtId="164" showAll="0"/>
    <pivotField dataField="1" numFmtId="164" showAll="0"/>
    <pivotField numFmtId="164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" baseField="0" baseItem="0" numFmtId="164"/>
    <dataField name="Sum of Total Cost" fld="3" baseField="0" baseItem="0" numFmtId="164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489ED-DD00-4AC0-BFB2-C6BE4AD85469}" name="PivotTable1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52" firstHeaderRow="1" firstDataRow="1" firstDataCol="1"/>
  <pivotFields count="5">
    <pivotField axis="axisRow" showAll="0">
      <items count="49">
        <item x="3"/>
        <item x="15"/>
        <item x="27"/>
        <item x="39"/>
        <item x="7"/>
        <item x="19"/>
        <item x="31"/>
        <item x="43"/>
        <item x="11"/>
        <item x="23"/>
        <item x="35"/>
        <item x="47"/>
        <item x="1"/>
        <item x="13"/>
        <item x="25"/>
        <item x="37"/>
        <item x="0"/>
        <item x="12"/>
        <item x="24"/>
        <item x="36"/>
        <item x="6"/>
        <item x="18"/>
        <item x="30"/>
        <item x="42"/>
        <item x="5"/>
        <item x="17"/>
        <item x="29"/>
        <item x="41"/>
        <item x="2"/>
        <item x="14"/>
        <item x="26"/>
        <item x="38"/>
        <item x="4"/>
        <item x="16"/>
        <item x="28"/>
        <item x="40"/>
        <item x="10"/>
        <item x="22"/>
        <item x="34"/>
        <item x="46"/>
        <item x="9"/>
        <item x="21"/>
        <item x="33"/>
        <item x="45"/>
        <item x="8"/>
        <item x="20"/>
        <item x="32"/>
        <item x="44"/>
        <item t="default"/>
      </items>
    </pivotField>
    <pivotField numFmtId="164" showAll="0"/>
    <pivotField numFmtId="164" showAll="0"/>
    <pivotField numFmtId="164" showAll="0"/>
    <pivotField dataField="1" numFmtId="164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Profit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J29" sqref="J29"/>
    </sheetView>
  </sheetViews>
  <sheetFormatPr defaultRowHeight="14.4" x14ac:dyDescent="0.3"/>
  <cols>
    <col min="2" max="2" width="12.77734375" customWidth="1"/>
    <col min="3" max="3" width="13.88671875" customWidth="1"/>
    <col min="4" max="4" width="19" bestFit="1" customWidth="1"/>
    <col min="5" max="5" width="12.77734375" customWidth="1"/>
    <col min="6" max="6" width="13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>
        <v>500</v>
      </c>
      <c r="C2">
        <v>500</v>
      </c>
      <c r="D2">
        <v>220</v>
      </c>
      <c r="E2">
        <v>200000</v>
      </c>
      <c r="F2">
        <v>20000</v>
      </c>
    </row>
    <row r="3" spans="1:6" x14ac:dyDescent="0.3">
      <c r="A3" t="s">
        <v>7</v>
      </c>
      <c r="B3">
        <v>600</v>
      </c>
      <c r="C3">
        <v>500</v>
      </c>
      <c r="D3">
        <v>220</v>
      </c>
      <c r="E3">
        <v>200000</v>
      </c>
      <c r="F3">
        <v>25000</v>
      </c>
    </row>
    <row r="4" spans="1:6" x14ac:dyDescent="0.3">
      <c r="A4" t="s">
        <v>8</v>
      </c>
      <c r="B4">
        <v>700</v>
      </c>
      <c r="C4">
        <v>500</v>
      </c>
      <c r="D4">
        <v>220</v>
      </c>
      <c r="E4">
        <v>200000</v>
      </c>
      <c r="F4">
        <v>30000</v>
      </c>
    </row>
    <row r="5" spans="1:6" x14ac:dyDescent="0.3">
      <c r="A5" t="s">
        <v>9</v>
      </c>
      <c r="B5">
        <v>800</v>
      </c>
      <c r="C5">
        <v>500</v>
      </c>
      <c r="D5">
        <v>220</v>
      </c>
      <c r="E5">
        <v>200000</v>
      </c>
      <c r="F5">
        <v>35000</v>
      </c>
    </row>
    <row r="6" spans="1:6" x14ac:dyDescent="0.3">
      <c r="A6" t="s">
        <v>10</v>
      </c>
      <c r="B6">
        <v>900</v>
      </c>
      <c r="C6">
        <v>500</v>
      </c>
      <c r="D6">
        <v>220</v>
      </c>
      <c r="E6">
        <v>200000</v>
      </c>
      <c r="F6">
        <v>40000</v>
      </c>
    </row>
    <row r="7" spans="1:6" x14ac:dyDescent="0.3">
      <c r="A7" t="s">
        <v>11</v>
      </c>
      <c r="B7">
        <v>1000</v>
      </c>
      <c r="C7">
        <v>500</v>
      </c>
      <c r="D7">
        <v>220</v>
      </c>
      <c r="E7">
        <v>200000</v>
      </c>
      <c r="F7">
        <v>45000</v>
      </c>
    </row>
    <row r="8" spans="1:6" x14ac:dyDescent="0.3">
      <c r="A8" t="s">
        <v>12</v>
      </c>
      <c r="B8">
        <v>1100</v>
      </c>
      <c r="C8">
        <v>500</v>
      </c>
      <c r="D8">
        <v>220</v>
      </c>
      <c r="E8">
        <v>200000</v>
      </c>
      <c r="F8">
        <v>50000</v>
      </c>
    </row>
    <row r="9" spans="1:6" x14ac:dyDescent="0.3">
      <c r="A9" t="s">
        <v>13</v>
      </c>
      <c r="B9">
        <v>1200</v>
      </c>
      <c r="C9">
        <v>500</v>
      </c>
      <c r="D9">
        <v>220</v>
      </c>
      <c r="E9">
        <v>200000</v>
      </c>
      <c r="F9">
        <v>55000</v>
      </c>
    </row>
    <row r="10" spans="1:6" x14ac:dyDescent="0.3">
      <c r="A10" t="s">
        <v>14</v>
      </c>
      <c r="B10">
        <v>1300</v>
      </c>
      <c r="C10">
        <v>500</v>
      </c>
      <c r="D10">
        <v>220</v>
      </c>
      <c r="E10">
        <v>200000</v>
      </c>
      <c r="F10">
        <v>60000</v>
      </c>
    </row>
    <row r="11" spans="1:6" x14ac:dyDescent="0.3">
      <c r="A11" t="s">
        <v>15</v>
      </c>
      <c r="B11">
        <v>1400</v>
      </c>
      <c r="C11">
        <v>500</v>
      </c>
      <c r="D11">
        <v>220</v>
      </c>
      <c r="E11">
        <v>200000</v>
      </c>
      <c r="F11">
        <v>65000</v>
      </c>
    </row>
    <row r="12" spans="1:6" x14ac:dyDescent="0.3">
      <c r="A12" t="s">
        <v>16</v>
      </c>
      <c r="B12">
        <v>1500</v>
      </c>
      <c r="C12">
        <v>500</v>
      </c>
      <c r="D12">
        <v>220</v>
      </c>
      <c r="E12">
        <v>200000</v>
      </c>
      <c r="F12">
        <v>70000</v>
      </c>
    </row>
    <row r="13" spans="1:6" x14ac:dyDescent="0.3">
      <c r="A13" t="s">
        <v>17</v>
      </c>
      <c r="B13">
        <v>1600</v>
      </c>
      <c r="C13">
        <v>500</v>
      </c>
      <c r="D13">
        <v>220</v>
      </c>
      <c r="E13">
        <v>200000</v>
      </c>
      <c r="F13">
        <v>75000</v>
      </c>
    </row>
    <row r="14" spans="1:6" x14ac:dyDescent="0.3">
      <c r="A14" t="s">
        <v>18</v>
      </c>
      <c r="B14">
        <v>600</v>
      </c>
      <c r="C14">
        <v>520</v>
      </c>
      <c r="D14">
        <v>230</v>
      </c>
      <c r="E14">
        <v>210000</v>
      </c>
      <c r="F14">
        <v>22000</v>
      </c>
    </row>
    <row r="15" spans="1:6" x14ac:dyDescent="0.3">
      <c r="A15" t="s">
        <v>19</v>
      </c>
      <c r="B15">
        <v>700</v>
      </c>
      <c r="C15">
        <v>520</v>
      </c>
      <c r="D15">
        <v>230</v>
      </c>
      <c r="E15">
        <v>210000</v>
      </c>
      <c r="F15">
        <v>26000</v>
      </c>
    </row>
    <row r="16" spans="1:6" x14ac:dyDescent="0.3">
      <c r="A16" t="s">
        <v>20</v>
      </c>
      <c r="B16">
        <v>800</v>
      </c>
      <c r="C16">
        <v>520</v>
      </c>
      <c r="D16">
        <v>230</v>
      </c>
      <c r="E16">
        <v>210000</v>
      </c>
      <c r="F16">
        <v>30000</v>
      </c>
    </row>
    <row r="17" spans="1:6" x14ac:dyDescent="0.3">
      <c r="A17" t="s">
        <v>21</v>
      </c>
      <c r="B17">
        <v>900</v>
      </c>
      <c r="C17">
        <v>520</v>
      </c>
      <c r="D17">
        <v>230</v>
      </c>
      <c r="E17">
        <v>210000</v>
      </c>
      <c r="F17">
        <v>34000</v>
      </c>
    </row>
    <row r="18" spans="1:6" x14ac:dyDescent="0.3">
      <c r="A18" t="s">
        <v>22</v>
      </c>
      <c r="B18">
        <v>1000</v>
      </c>
      <c r="C18">
        <v>520</v>
      </c>
      <c r="D18">
        <v>230</v>
      </c>
      <c r="E18">
        <v>210000</v>
      </c>
      <c r="F18">
        <v>38000</v>
      </c>
    </row>
    <row r="19" spans="1:6" x14ac:dyDescent="0.3">
      <c r="A19" t="s">
        <v>23</v>
      </c>
      <c r="B19">
        <v>1100</v>
      </c>
      <c r="C19">
        <v>520</v>
      </c>
      <c r="D19">
        <v>230</v>
      </c>
      <c r="E19">
        <v>210000</v>
      </c>
      <c r="F19">
        <v>42000</v>
      </c>
    </row>
    <row r="20" spans="1:6" x14ac:dyDescent="0.3">
      <c r="A20" t="s">
        <v>24</v>
      </c>
      <c r="B20">
        <v>1200</v>
      </c>
      <c r="C20">
        <v>520</v>
      </c>
      <c r="D20">
        <v>230</v>
      </c>
      <c r="E20">
        <v>210000</v>
      </c>
      <c r="F20">
        <v>46000</v>
      </c>
    </row>
    <row r="21" spans="1:6" x14ac:dyDescent="0.3">
      <c r="A21" t="s">
        <v>25</v>
      </c>
      <c r="B21">
        <v>1300</v>
      </c>
      <c r="C21">
        <v>520</v>
      </c>
      <c r="D21">
        <v>230</v>
      </c>
      <c r="E21">
        <v>210000</v>
      </c>
      <c r="F21">
        <v>50000</v>
      </c>
    </row>
    <row r="22" spans="1:6" x14ac:dyDescent="0.3">
      <c r="A22" t="s">
        <v>26</v>
      </c>
      <c r="B22">
        <v>1400</v>
      </c>
      <c r="C22">
        <v>520</v>
      </c>
      <c r="D22">
        <v>230</v>
      </c>
      <c r="E22">
        <v>210000</v>
      </c>
      <c r="F22">
        <v>54000</v>
      </c>
    </row>
    <row r="23" spans="1:6" x14ac:dyDescent="0.3">
      <c r="A23" t="s">
        <v>27</v>
      </c>
      <c r="B23">
        <v>1500</v>
      </c>
      <c r="C23">
        <v>520</v>
      </c>
      <c r="D23">
        <v>230</v>
      </c>
      <c r="E23">
        <v>210000</v>
      </c>
      <c r="F23">
        <v>58000</v>
      </c>
    </row>
    <row r="24" spans="1:6" x14ac:dyDescent="0.3">
      <c r="A24" t="s">
        <v>28</v>
      </c>
      <c r="B24">
        <v>1600</v>
      </c>
      <c r="C24">
        <v>520</v>
      </c>
      <c r="D24">
        <v>230</v>
      </c>
      <c r="E24">
        <v>210000</v>
      </c>
      <c r="F24">
        <v>62000</v>
      </c>
    </row>
    <row r="25" spans="1:6" x14ac:dyDescent="0.3">
      <c r="A25" t="s">
        <v>29</v>
      </c>
      <c r="B25">
        <v>1700</v>
      </c>
      <c r="C25">
        <v>520</v>
      </c>
      <c r="D25">
        <v>230</v>
      </c>
      <c r="E25">
        <v>210000</v>
      </c>
      <c r="F25">
        <v>66000</v>
      </c>
    </row>
    <row r="26" spans="1:6" x14ac:dyDescent="0.3">
      <c r="A26" t="s">
        <v>30</v>
      </c>
      <c r="B26">
        <v>700</v>
      </c>
      <c r="C26">
        <v>540</v>
      </c>
      <c r="D26">
        <v>240</v>
      </c>
      <c r="E26">
        <v>220000</v>
      </c>
      <c r="F26">
        <v>25000</v>
      </c>
    </row>
    <row r="27" spans="1:6" x14ac:dyDescent="0.3">
      <c r="A27" t="s">
        <v>31</v>
      </c>
      <c r="B27">
        <v>800</v>
      </c>
      <c r="C27">
        <v>540</v>
      </c>
      <c r="D27">
        <v>240</v>
      </c>
      <c r="E27">
        <v>220000</v>
      </c>
      <c r="F27">
        <v>30000</v>
      </c>
    </row>
    <row r="28" spans="1:6" x14ac:dyDescent="0.3">
      <c r="A28" t="s">
        <v>32</v>
      </c>
      <c r="B28">
        <v>900</v>
      </c>
      <c r="C28">
        <v>540</v>
      </c>
      <c r="D28">
        <v>240</v>
      </c>
      <c r="E28">
        <v>220000</v>
      </c>
      <c r="F28">
        <v>35000</v>
      </c>
    </row>
    <row r="29" spans="1:6" x14ac:dyDescent="0.3">
      <c r="A29" t="s">
        <v>33</v>
      </c>
      <c r="B29">
        <v>1000</v>
      </c>
      <c r="C29">
        <v>540</v>
      </c>
      <c r="D29">
        <v>240</v>
      </c>
      <c r="E29">
        <v>220000</v>
      </c>
      <c r="F29">
        <v>40000</v>
      </c>
    </row>
    <row r="30" spans="1:6" x14ac:dyDescent="0.3">
      <c r="A30" t="s">
        <v>34</v>
      </c>
      <c r="B30">
        <v>1100</v>
      </c>
      <c r="C30">
        <v>540</v>
      </c>
      <c r="D30">
        <v>240</v>
      </c>
      <c r="E30">
        <v>220000</v>
      </c>
      <c r="F30">
        <v>45000</v>
      </c>
    </row>
    <row r="31" spans="1:6" x14ac:dyDescent="0.3">
      <c r="A31" t="s">
        <v>35</v>
      </c>
      <c r="B31">
        <v>1200</v>
      </c>
      <c r="C31">
        <v>540</v>
      </c>
      <c r="D31">
        <v>240</v>
      </c>
      <c r="E31">
        <v>220000</v>
      </c>
      <c r="F31">
        <v>50000</v>
      </c>
    </row>
    <row r="32" spans="1:6" x14ac:dyDescent="0.3">
      <c r="A32" t="s">
        <v>36</v>
      </c>
      <c r="B32">
        <v>1300</v>
      </c>
      <c r="C32">
        <v>540</v>
      </c>
      <c r="D32">
        <v>240</v>
      </c>
      <c r="E32">
        <v>220000</v>
      </c>
      <c r="F32">
        <v>55000</v>
      </c>
    </row>
    <row r="33" spans="1:6" x14ac:dyDescent="0.3">
      <c r="A33" t="s">
        <v>37</v>
      </c>
      <c r="B33">
        <v>1400</v>
      </c>
      <c r="C33">
        <v>540</v>
      </c>
      <c r="D33">
        <v>240</v>
      </c>
      <c r="E33">
        <v>220000</v>
      </c>
      <c r="F33">
        <v>60000</v>
      </c>
    </row>
    <row r="34" spans="1:6" x14ac:dyDescent="0.3">
      <c r="A34" t="s">
        <v>38</v>
      </c>
      <c r="B34">
        <v>1500</v>
      </c>
      <c r="C34">
        <v>540</v>
      </c>
      <c r="D34">
        <v>240</v>
      </c>
      <c r="E34">
        <v>220000</v>
      </c>
      <c r="F34">
        <v>65000</v>
      </c>
    </row>
    <row r="35" spans="1:6" x14ac:dyDescent="0.3">
      <c r="A35" t="s">
        <v>39</v>
      </c>
      <c r="B35">
        <v>1600</v>
      </c>
      <c r="C35">
        <v>540</v>
      </c>
      <c r="D35">
        <v>240</v>
      </c>
      <c r="E35">
        <v>220000</v>
      </c>
      <c r="F35">
        <v>70000</v>
      </c>
    </row>
    <row r="36" spans="1:6" x14ac:dyDescent="0.3">
      <c r="A36" t="s">
        <v>40</v>
      </c>
      <c r="B36">
        <v>1700</v>
      </c>
      <c r="C36">
        <v>540</v>
      </c>
      <c r="D36">
        <v>240</v>
      </c>
      <c r="E36">
        <v>220000</v>
      </c>
      <c r="F36">
        <v>75000</v>
      </c>
    </row>
    <row r="37" spans="1:6" x14ac:dyDescent="0.3">
      <c r="A37" t="s">
        <v>41</v>
      </c>
      <c r="B37">
        <v>1800</v>
      </c>
      <c r="C37">
        <v>540</v>
      </c>
      <c r="D37">
        <v>240</v>
      </c>
      <c r="E37">
        <v>220000</v>
      </c>
      <c r="F37">
        <v>80000</v>
      </c>
    </row>
    <row r="38" spans="1:6" x14ac:dyDescent="0.3">
      <c r="A38" t="s">
        <v>42</v>
      </c>
      <c r="B38">
        <v>800</v>
      </c>
      <c r="C38">
        <v>560</v>
      </c>
      <c r="D38">
        <v>250</v>
      </c>
      <c r="E38">
        <v>230000</v>
      </c>
      <c r="F38">
        <v>30000</v>
      </c>
    </row>
    <row r="39" spans="1:6" x14ac:dyDescent="0.3">
      <c r="A39" t="s">
        <v>43</v>
      </c>
      <c r="B39">
        <v>900</v>
      </c>
      <c r="C39">
        <v>560</v>
      </c>
      <c r="D39">
        <v>250</v>
      </c>
      <c r="E39">
        <v>230000</v>
      </c>
      <c r="F39">
        <v>35000</v>
      </c>
    </row>
    <row r="40" spans="1:6" x14ac:dyDescent="0.3">
      <c r="A40" t="s">
        <v>44</v>
      </c>
      <c r="B40">
        <v>1000</v>
      </c>
      <c r="C40">
        <v>560</v>
      </c>
      <c r="D40">
        <v>250</v>
      </c>
      <c r="E40">
        <v>230000</v>
      </c>
      <c r="F40">
        <v>40000</v>
      </c>
    </row>
    <row r="41" spans="1:6" x14ac:dyDescent="0.3">
      <c r="A41" t="s">
        <v>45</v>
      </c>
      <c r="B41">
        <v>1100</v>
      </c>
      <c r="C41">
        <v>560</v>
      </c>
      <c r="D41">
        <v>250</v>
      </c>
      <c r="E41">
        <v>230000</v>
      </c>
      <c r="F41">
        <v>45000</v>
      </c>
    </row>
    <row r="42" spans="1:6" x14ac:dyDescent="0.3">
      <c r="A42" t="s">
        <v>46</v>
      </c>
      <c r="B42">
        <v>1200</v>
      </c>
      <c r="C42">
        <v>560</v>
      </c>
      <c r="D42">
        <v>250</v>
      </c>
      <c r="E42">
        <v>230000</v>
      </c>
      <c r="F42">
        <v>50000</v>
      </c>
    </row>
    <row r="43" spans="1:6" x14ac:dyDescent="0.3">
      <c r="A43" t="s">
        <v>47</v>
      </c>
      <c r="B43">
        <v>1300</v>
      </c>
      <c r="C43">
        <v>560</v>
      </c>
      <c r="D43">
        <v>250</v>
      </c>
      <c r="E43">
        <v>230000</v>
      </c>
      <c r="F43">
        <v>55000</v>
      </c>
    </row>
    <row r="44" spans="1:6" x14ac:dyDescent="0.3">
      <c r="A44" t="s">
        <v>48</v>
      </c>
      <c r="B44">
        <v>1400</v>
      </c>
      <c r="C44">
        <v>560</v>
      </c>
      <c r="D44">
        <v>250</v>
      </c>
      <c r="E44">
        <v>230000</v>
      </c>
      <c r="F44">
        <v>60000</v>
      </c>
    </row>
    <row r="45" spans="1:6" x14ac:dyDescent="0.3">
      <c r="A45" t="s">
        <v>49</v>
      </c>
      <c r="B45">
        <v>1500</v>
      </c>
      <c r="C45">
        <v>560</v>
      </c>
      <c r="D45">
        <v>250</v>
      </c>
      <c r="E45">
        <v>230000</v>
      </c>
      <c r="F45">
        <v>65000</v>
      </c>
    </row>
    <row r="46" spans="1:6" x14ac:dyDescent="0.3">
      <c r="A46" t="s">
        <v>50</v>
      </c>
      <c r="B46">
        <v>1600</v>
      </c>
      <c r="C46">
        <v>560</v>
      </c>
      <c r="D46">
        <v>250</v>
      </c>
      <c r="E46">
        <v>230000</v>
      </c>
      <c r="F46">
        <v>70000</v>
      </c>
    </row>
    <row r="47" spans="1:6" x14ac:dyDescent="0.3">
      <c r="A47" t="s">
        <v>51</v>
      </c>
      <c r="B47">
        <v>1700</v>
      </c>
      <c r="C47">
        <v>560</v>
      </c>
      <c r="D47">
        <v>250</v>
      </c>
      <c r="E47">
        <v>230000</v>
      </c>
      <c r="F47">
        <v>75000</v>
      </c>
    </row>
    <row r="48" spans="1:6" x14ac:dyDescent="0.3">
      <c r="A48" t="s">
        <v>52</v>
      </c>
      <c r="B48">
        <v>1800</v>
      </c>
      <c r="C48">
        <v>560</v>
      </c>
      <c r="D48">
        <v>250</v>
      </c>
      <c r="E48">
        <v>230000</v>
      </c>
      <c r="F48">
        <v>80000</v>
      </c>
    </row>
    <row r="49" spans="1:6" x14ac:dyDescent="0.3">
      <c r="A49" t="s">
        <v>53</v>
      </c>
      <c r="B49">
        <v>2000</v>
      </c>
      <c r="C49">
        <v>560</v>
      </c>
      <c r="D49">
        <v>250</v>
      </c>
      <c r="E49">
        <v>230000</v>
      </c>
      <c r="F49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574E-0CFB-481B-9D0E-47BDA8946C47}">
  <dimension ref="A1:H49"/>
  <sheetViews>
    <sheetView zoomScale="89" zoomScaleNormal="89" workbookViewId="0">
      <selection activeCell="J29" sqref="J29"/>
    </sheetView>
  </sheetViews>
  <sheetFormatPr defaultRowHeight="14.4" x14ac:dyDescent="0.3"/>
  <cols>
    <col min="1" max="1" width="8.77734375" customWidth="1"/>
    <col min="2" max="2" width="12.44140625" bestFit="1" customWidth="1"/>
    <col min="3" max="3" width="15.88671875" customWidth="1"/>
    <col min="4" max="5" width="11" bestFit="1" customWidth="1"/>
    <col min="8" max="8" width="15.5546875" customWidth="1"/>
  </cols>
  <sheetData>
    <row r="1" spans="1:8" x14ac:dyDescent="0.3">
      <c r="A1" s="2" t="s">
        <v>0</v>
      </c>
      <c r="B1" s="2" t="s">
        <v>54</v>
      </c>
      <c r="C1" s="2" t="s">
        <v>56</v>
      </c>
      <c r="D1" s="2" t="s">
        <v>55</v>
      </c>
      <c r="E1" s="2" t="s">
        <v>57</v>
      </c>
      <c r="H1" s="2" t="s">
        <v>63</v>
      </c>
    </row>
    <row r="2" spans="1:8" x14ac:dyDescent="0.3">
      <c r="A2" t="str">
        <f>Data!A2</f>
        <v>Jan-2021</v>
      </c>
      <c r="B2" s="1">
        <f>Data!B2 * Data!C2</f>
        <v>250000</v>
      </c>
      <c r="C2" s="1">
        <f>Data!B2 * Data!D2</f>
        <v>110000</v>
      </c>
      <c r="D2" s="1">
        <f>C2 + Data!E2 + Data!F2</f>
        <v>330000</v>
      </c>
      <c r="E2" s="1">
        <f t="shared" ref="E2:E49" si="0">B2 - D2</f>
        <v>-80000</v>
      </c>
      <c r="H2">
        <f>Data!E2 / (Data!C2 - Data!D2)</f>
        <v>714.28571428571433</v>
      </c>
    </row>
    <row r="3" spans="1:8" x14ac:dyDescent="0.3">
      <c r="A3" t="str">
        <f>Data!A3</f>
        <v>Feb-2021</v>
      </c>
      <c r="B3" s="1">
        <f>Data!B3 * Data!C3</f>
        <v>300000</v>
      </c>
      <c r="C3" s="1">
        <f>Data!B3 * Data!D3</f>
        <v>132000</v>
      </c>
      <c r="D3" s="1">
        <f>C3 + Data!E3 + Data!F3</f>
        <v>357000</v>
      </c>
      <c r="E3" s="1">
        <f t="shared" si="0"/>
        <v>-57000</v>
      </c>
    </row>
    <row r="4" spans="1:8" x14ac:dyDescent="0.3">
      <c r="A4" t="str">
        <f>Data!A4</f>
        <v>Mar-2021</v>
      </c>
      <c r="B4" s="1">
        <f>Data!B4 * Data!C4</f>
        <v>350000</v>
      </c>
      <c r="C4" s="1">
        <f>Data!B4 * Data!D4</f>
        <v>154000</v>
      </c>
      <c r="D4" s="1">
        <f>C4 + Data!E4 + Data!F4</f>
        <v>384000</v>
      </c>
      <c r="E4" s="1">
        <f t="shared" si="0"/>
        <v>-34000</v>
      </c>
    </row>
    <row r="5" spans="1:8" x14ac:dyDescent="0.3">
      <c r="A5" t="str">
        <f>Data!A5</f>
        <v>Apr-2021</v>
      </c>
      <c r="B5" s="1">
        <f>Data!B5 * Data!C5</f>
        <v>400000</v>
      </c>
      <c r="C5" s="1">
        <f>Data!B5 * Data!D5</f>
        <v>176000</v>
      </c>
      <c r="D5" s="1">
        <f>C5 + Data!E5 + Data!F5</f>
        <v>411000</v>
      </c>
      <c r="E5" s="1">
        <f t="shared" si="0"/>
        <v>-11000</v>
      </c>
    </row>
    <row r="6" spans="1:8" x14ac:dyDescent="0.3">
      <c r="A6" t="str">
        <f>Data!A6</f>
        <v>May-2021</v>
      </c>
      <c r="B6" s="1">
        <f>Data!B6 * Data!C6</f>
        <v>450000</v>
      </c>
      <c r="C6" s="1">
        <f>Data!B6 * Data!D6</f>
        <v>198000</v>
      </c>
      <c r="D6" s="1">
        <f>C6 + Data!E6 + Data!F6</f>
        <v>438000</v>
      </c>
      <c r="E6" s="1">
        <f t="shared" si="0"/>
        <v>12000</v>
      </c>
    </row>
    <row r="7" spans="1:8" x14ac:dyDescent="0.3">
      <c r="A7" t="str">
        <f>Data!A7</f>
        <v>Jun-2021</v>
      </c>
      <c r="B7" s="1">
        <f>Data!B7 * Data!C7</f>
        <v>500000</v>
      </c>
      <c r="C7" s="1">
        <f>Data!B7 * Data!D7</f>
        <v>220000</v>
      </c>
      <c r="D7" s="1">
        <f>C7 + Data!E7 + Data!F7</f>
        <v>465000</v>
      </c>
      <c r="E7" s="1">
        <f t="shared" si="0"/>
        <v>35000</v>
      </c>
    </row>
    <row r="8" spans="1:8" x14ac:dyDescent="0.3">
      <c r="A8" t="str">
        <f>Data!A8</f>
        <v>Jul-2021</v>
      </c>
      <c r="B8" s="1">
        <f>Data!B8 * Data!C8</f>
        <v>550000</v>
      </c>
      <c r="C8" s="1">
        <f>Data!B8 * Data!D8</f>
        <v>242000</v>
      </c>
      <c r="D8" s="1">
        <f>C8 + Data!E8 + Data!F8</f>
        <v>492000</v>
      </c>
      <c r="E8" s="1">
        <f t="shared" si="0"/>
        <v>58000</v>
      </c>
    </row>
    <row r="9" spans="1:8" x14ac:dyDescent="0.3">
      <c r="A9" t="str">
        <f>Data!A9</f>
        <v>Aug-2021</v>
      </c>
      <c r="B9" s="1">
        <f>Data!B9 * Data!C9</f>
        <v>600000</v>
      </c>
      <c r="C9" s="1">
        <f>Data!B9 * Data!D9</f>
        <v>264000</v>
      </c>
      <c r="D9" s="1">
        <f>C9 + Data!E9 + Data!F9</f>
        <v>519000</v>
      </c>
      <c r="E9" s="1">
        <f t="shared" si="0"/>
        <v>81000</v>
      </c>
    </row>
    <row r="10" spans="1:8" x14ac:dyDescent="0.3">
      <c r="A10" t="str">
        <f>Data!A10</f>
        <v>Sep-2021</v>
      </c>
      <c r="B10" s="1">
        <f>Data!B10 * Data!C10</f>
        <v>650000</v>
      </c>
      <c r="C10" s="1">
        <f>Data!B10 * Data!D10</f>
        <v>286000</v>
      </c>
      <c r="D10" s="1">
        <f>C10 + Data!E10 + Data!F10</f>
        <v>546000</v>
      </c>
      <c r="E10" s="1">
        <f t="shared" si="0"/>
        <v>104000</v>
      </c>
    </row>
    <row r="11" spans="1:8" x14ac:dyDescent="0.3">
      <c r="A11" t="str">
        <f>Data!A11</f>
        <v>Oct-2021</v>
      </c>
      <c r="B11" s="1">
        <f>Data!B11 * Data!C11</f>
        <v>700000</v>
      </c>
      <c r="C11" s="1">
        <f>Data!B11 * Data!D11</f>
        <v>308000</v>
      </c>
      <c r="D11" s="1">
        <f>C11 + Data!E11 + Data!F11</f>
        <v>573000</v>
      </c>
      <c r="E11" s="1">
        <f t="shared" si="0"/>
        <v>127000</v>
      </c>
    </row>
    <row r="12" spans="1:8" x14ac:dyDescent="0.3">
      <c r="A12" t="str">
        <f>Data!A12</f>
        <v>Nov-2021</v>
      </c>
      <c r="B12" s="1">
        <f>Data!B12 * Data!C12</f>
        <v>750000</v>
      </c>
      <c r="C12" s="1">
        <f>Data!B12 * Data!D12</f>
        <v>330000</v>
      </c>
      <c r="D12" s="1">
        <f>C12 + Data!E12 + Data!F12</f>
        <v>600000</v>
      </c>
      <c r="E12" s="1">
        <f t="shared" si="0"/>
        <v>150000</v>
      </c>
    </row>
    <row r="13" spans="1:8" x14ac:dyDescent="0.3">
      <c r="A13" t="str">
        <f>Data!A13</f>
        <v>Dec-2021</v>
      </c>
      <c r="B13" s="1">
        <f>Data!B13 * Data!C13</f>
        <v>800000</v>
      </c>
      <c r="C13" s="1">
        <f>Data!B13 * Data!D13</f>
        <v>352000</v>
      </c>
      <c r="D13" s="1">
        <f>C13 + Data!E13 + Data!F13</f>
        <v>627000</v>
      </c>
      <c r="E13" s="1">
        <f t="shared" si="0"/>
        <v>173000</v>
      </c>
    </row>
    <row r="14" spans="1:8" x14ac:dyDescent="0.3">
      <c r="A14" t="str">
        <f>Data!A14</f>
        <v>Jan-2022</v>
      </c>
      <c r="B14" s="1">
        <f>Data!B14 * Data!C14</f>
        <v>312000</v>
      </c>
      <c r="C14" s="1">
        <f>Data!B14 * Data!D14</f>
        <v>138000</v>
      </c>
      <c r="D14" s="1">
        <f>C14 + Data!E14 + Data!F14</f>
        <v>370000</v>
      </c>
      <c r="E14" s="1">
        <f t="shared" si="0"/>
        <v>-58000</v>
      </c>
    </row>
    <row r="15" spans="1:8" x14ac:dyDescent="0.3">
      <c r="A15" t="str">
        <f>Data!A15</f>
        <v>Feb-2022</v>
      </c>
      <c r="B15" s="1">
        <f>Data!B15 * Data!C15</f>
        <v>364000</v>
      </c>
      <c r="C15" s="1">
        <f>Data!B15 * Data!D15</f>
        <v>161000</v>
      </c>
      <c r="D15" s="1">
        <f>C15 + Data!E15 + Data!F15</f>
        <v>397000</v>
      </c>
      <c r="E15" s="1">
        <f t="shared" si="0"/>
        <v>-33000</v>
      </c>
    </row>
    <row r="16" spans="1:8" x14ac:dyDescent="0.3">
      <c r="A16" t="str">
        <f>Data!A16</f>
        <v>Mar-2022</v>
      </c>
      <c r="B16" s="1">
        <f>Data!B16 * Data!C16</f>
        <v>416000</v>
      </c>
      <c r="C16" s="1">
        <f>Data!B16 * Data!D16</f>
        <v>184000</v>
      </c>
      <c r="D16" s="1">
        <f>C16 + Data!E16 + Data!F16</f>
        <v>424000</v>
      </c>
      <c r="E16" s="1">
        <f t="shared" si="0"/>
        <v>-8000</v>
      </c>
    </row>
    <row r="17" spans="1:5" x14ac:dyDescent="0.3">
      <c r="A17" t="str">
        <f>Data!A17</f>
        <v>Apr-2022</v>
      </c>
      <c r="B17" s="1">
        <f>Data!B17 * Data!C17</f>
        <v>468000</v>
      </c>
      <c r="C17" s="1">
        <f>Data!B17 * Data!D17</f>
        <v>207000</v>
      </c>
      <c r="D17" s="1">
        <f>C17 + Data!E17 + Data!F17</f>
        <v>451000</v>
      </c>
      <c r="E17" s="1">
        <f t="shared" si="0"/>
        <v>17000</v>
      </c>
    </row>
    <row r="18" spans="1:5" x14ac:dyDescent="0.3">
      <c r="A18" t="str">
        <f>Data!A18</f>
        <v>May-2022</v>
      </c>
      <c r="B18" s="1">
        <f>Data!B18 * Data!C18</f>
        <v>520000</v>
      </c>
      <c r="C18" s="1">
        <f>Data!B18 * Data!D18</f>
        <v>230000</v>
      </c>
      <c r="D18" s="1">
        <f>C18 + Data!E18 + Data!F18</f>
        <v>478000</v>
      </c>
      <c r="E18" s="1">
        <f t="shared" si="0"/>
        <v>42000</v>
      </c>
    </row>
    <row r="19" spans="1:5" x14ac:dyDescent="0.3">
      <c r="A19" t="str">
        <f>Data!A19</f>
        <v>Jun-2022</v>
      </c>
      <c r="B19" s="1">
        <f>Data!B19 * Data!C19</f>
        <v>572000</v>
      </c>
      <c r="C19" s="1">
        <f>Data!B19 * Data!D19</f>
        <v>253000</v>
      </c>
      <c r="D19" s="1">
        <f>C19 + Data!E19 + Data!F19</f>
        <v>505000</v>
      </c>
      <c r="E19" s="1">
        <f t="shared" si="0"/>
        <v>67000</v>
      </c>
    </row>
    <row r="20" spans="1:5" x14ac:dyDescent="0.3">
      <c r="A20" t="str">
        <f>Data!A20</f>
        <v>Jul-2022</v>
      </c>
      <c r="B20" s="1">
        <f>Data!B20 * Data!C20</f>
        <v>624000</v>
      </c>
      <c r="C20" s="1">
        <f>Data!B20 * Data!D20</f>
        <v>276000</v>
      </c>
      <c r="D20" s="1">
        <f>C20 + Data!E20 + Data!F20</f>
        <v>532000</v>
      </c>
      <c r="E20" s="1">
        <f t="shared" si="0"/>
        <v>92000</v>
      </c>
    </row>
    <row r="21" spans="1:5" x14ac:dyDescent="0.3">
      <c r="A21" t="str">
        <f>Data!A21</f>
        <v>Aug-2022</v>
      </c>
      <c r="B21" s="1">
        <f>Data!B21 * Data!C21</f>
        <v>676000</v>
      </c>
      <c r="C21" s="1">
        <f>Data!B21 * Data!D21</f>
        <v>299000</v>
      </c>
      <c r="D21" s="1">
        <f>C21 + Data!E21 + Data!F21</f>
        <v>559000</v>
      </c>
      <c r="E21" s="1">
        <f t="shared" si="0"/>
        <v>117000</v>
      </c>
    </row>
    <row r="22" spans="1:5" x14ac:dyDescent="0.3">
      <c r="A22" t="str">
        <f>Data!A22</f>
        <v>Sep-2022</v>
      </c>
      <c r="B22" s="1">
        <f>Data!B22 * Data!C22</f>
        <v>728000</v>
      </c>
      <c r="C22" s="1">
        <f>Data!B22 * Data!D22</f>
        <v>322000</v>
      </c>
      <c r="D22" s="1">
        <f>C22 + Data!E22 + Data!F22</f>
        <v>586000</v>
      </c>
      <c r="E22" s="1">
        <f t="shared" si="0"/>
        <v>142000</v>
      </c>
    </row>
    <row r="23" spans="1:5" x14ac:dyDescent="0.3">
      <c r="A23" t="str">
        <f>Data!A23</f>
        <v>Oct-2022</v>
      </c>
      <c r="B23" s="1">
        <f>Data!B23 * Data!C23</f>
        <v>780000</v>
      </c>
      <c r="C23" s="1">
        <f>Data!B23 * Data!D23</f>
        <v>345000</v>
      </c>
      <c r="D23" s="1">
        <f>C23 + Data!E23 + Data!F23</f>
        <v>613000</v>
      </c>
      <c r="E23" s="1">
        <f t="shared" si="0"/>
        <v>167000</v>
      </c>
    </row>
    <row r="24" spans="1:5" x14ac:dyDescent="0.3">
      <c r="A24" t="str">
        <f>Data!A24</f>
        <v>Nov-2022</v>
      </c>
      <c r="B24" s="1">
        <f>Data!B24 * Data!C24</f>
        <v>832000</v>
      </c>
      <c r="C24" s="1">
        <f>Data!B24 * Data!D24</f>
        <v>368000</v>
      </c>
      <c r="D24" s="1">
        <f>C24 + Data!E24 + Data!F24</f>
        <v>640000</v>
      </c>
      <c r="E24" s="1">
        <f t="shared" si="0"/>
        <v>192000</v>
      </c>
    </row>
    <row r="25" spans="1:5" x14ac:dyDescent="0.3">
      <c r="A25" t="str">
        <f>Data!A25</f>
        <v>Dec-2022</v>
      </c>
      <c r="B25" s="1">
        <f>Data!B25 * Data!C25</f>
        <v>884000</v>
      </c>
      <c r="C25" s="1">
        <f>Data!B25 * Data!D25</f>
        <v>391000</v>
      </c>
      <c r="D25" s="1">
        <f>C25 + Data!E25 + Data!F25</f>
        <v>667000</v>
      </c>
      <c r="E25" s="1">
        <f t="shared" si="0"/>
        <v>217000</v>
      </c>
    </row>
    <row r="26" spans="1:5" x14ac:dyDescent="0.3">
      <c r="A26" t="str">
        <f>Data!A26</f>
        <v>Jan-2023</v>
      </c>
      <c r="B26" s="1">
        <f>Data!B26 * Data!C26</f>
        <v>378000</v>
      </c>
      <c r="C26" s="1">
        <f>Data!B26 * Data!D26</f>
        <v>168000</v>
      </c>
      <c r="D26" s="1">
        <f>C26 + Data!E26 + Data!F26</f>
        <v>413000</v>
      </c>
      <c r="E26" s="1">
        <f t="shared" si="0"/>
        <v>-35000</v>
      </c>
    </row>
    <row r="27" spans="1:5" x14ac:dyDescent="0.3">
      <c r="A27" t="str">
        <f>Data!A27</f>
        <v>Feb-2023</v>
      </c>
      <c r="B27" s="1">
        <f>Data!B27 * Data!C27</f>
        <v>432000</v>
      </c>
      <c r="C27" s="1">
        <f>Data!B27 * Data!D27</f>
        <v>192000</v>
      </c>
      <c r="D27" s="1">
        <f>C27 + Data!E27 + Data!F27</f>
        <v>442000</v>
      </c>
      <c r="E27" s="1">
        <f t="shared" si="0"/>
        <v>-10000</v>
      </c>
    </row>
    <row r="28" spans="1:5" x14ac:dyDescent="0.3">
      <c r="A28" t="str">
        <f>Data!A28</f>
        <v>Mar-2023</v>
      </c>
      <c r="B28" s="1">
        <f>Data!B28 * Data!C28</f>
        <v>486000</v>
      </c>
      <c r="C28" s="1">
        <f>Data!B28 * Data!D28</f>
        <v>216000</v>
      </c>
      <c r="D28" s="1">
        <f>C28 + Data!E28 + Data!F28</f>
        <v>471000</v>
      </c>
      <c r="E28" s="1">
        <f t="shared" si="0"/>
        <v>15000</v>
      </c>
    </row>
    <row r="29" spans="1:5" x14ac:dyDescent="0.3">
      <c r="A29" t="str">
        <f>Data!A29</f>
        <v>Apr-2023</v>
      </c>
      <c r="B29" s="1">
        <f>Data!B29 * Data!C29</f>
        <v>540000</v>
      </c>
      <c r="C29" s="1">
        <f>Data!B29 * Data!D29</f>
        <v>240000</v>
      </c>
      <c r="D29" s="1">
        <f>C29 + Data!E29 + Data!F29</f>
        <v>500000</v>
      </c>
      <c r="E29" s="1">
        <f t="shared" si="0"/>
        <v>40000</v>
      </c>
    </row>
    <row r="30" spans="1:5" x14ac:dyDescent="0.3">
      <c r="A30" t="str">
        <f>Data!A30</f>
        <v>May-2023</v>
      </c>
      <c r="B30" s="1">
        <f>Data!B30 * Data!C30</f>
        <v>594000</v>
      </c>
      <c r="C30" s="1">
        <f>Data!B30 * Data!D30</f>
        <v>264000</v>
      </c>
      <c r="D30" s="1">
        <f>C30 + Data!E30 + Data!F30</f>
        <v>529000</v>
      </c>
      <c r="E30" s="1">
        <f t="shared" si="0"/>
        <v>65000</v>
      </c>
    </row>
    <row r="31" spans="1:5" x14ac:dyDescent="0.3">
      <c r="A31" t="str">
        <f>Data!A31</f>
        <v>Jun-2023</v>
      </c>
      <c r="B31" s="1">
        <f>Data!B31 * Data!C31</f>
        <v>648000</v>
      </c>
      <c r="C31" s="1">
        <f>Data!B31 * Data!D31</f>
        <v>288000</v>
      </c>
      <c r="D31" s="1">
        <f>C31 + Data!E31 + Data!F31</f>
        <v>558000</v>
      </c>
      <c r="E31" s="1">
        <f t="shared" si="0"/>
        <v>90000</v>
      </c>
    </row>
    <row r="32" spans="1:5" x14ac:dyDescent="0.3">
      <c r="A32" t="str">
        <f>Data!A32</f>
        <v>Jul-2023</v>
      </c>
      <c r="B32" s="1">
        <f>Data!B32 * Data!C32</f>
        <v>702000</v>
      </c>
      <c r="C32" s="1">
        <f>Data!B32 * Data!D32</f>
        <v>312000</v>
      </c>
      <c r="D32" s="1">
        <f>C32 + Data!E32 + Data!F32</f>
        <v>587000</v>
      </c>
      <c r="E32" s="1">
        <f t="shared" si="0"/>
        <v>115000</v>
      </c>
    </row>
    <row r="33" spans="1:5" x14ac:dyDescent="0.3">
      <c r="A33" t="str">
        <f>Data!A33</f>
        <v>Aug-2023</v>
      </c>
      <c r="B33" s="1">
        <f>Data!B33 * Data!C33</f>
        <v>756000</v>
      </c>
      <c r="C33" s="1">
        <f>Data!B33 * Data!D33</f>
        <v>336000</v>
      </c>
      <c r="D33" s="1">
        <f>C33 + Data!E33 + Data!F33</f>
        <v>616000</v>
      </c>
      <c r="E33" s="1">
        <f t="shared" si="0"/>
        <v>140000</v>
      </c>
    </row>
    <row r="34" spans="1:5" x14ac:dyDescent="0.3">
      <c r="A34" t="str">
        <f>Data!A34</f>
        <v>Sep-2023</v>
      </c>
      <c r="B34" s="1">
        <f>Data!B34 * Data!C34</f>
        <v>810000</v>
      </c>
      <c r="C34" s="1">
        <f>Data!B34 * Data!D34</f>
        <v>360000</v>
      </c>
      <c r="D34" s="1">
        <f>C34 + Data!E34 + Data!F34</f>
        <v>645000</v>
      </c>
      <c r="E34" s="1">
        <f t="shared" si="0"/>
        <v>165000</v>
      </c>
    </row>
    <row r="35" spans="1:5" x14ac:dyDescent="0.3">
      <c r="A35" t="str">
        <f>Data!A35</f>
        <v>Oct-2023</v>
      </c>
      <c r="B35" s="1">
        <f>Data!B35 * Data!C35</f>
        <v>864000</v>
      </c>
      <c r="C35" s="1">
        <f>Data!B35 * Data!D35</f>
        <v>384000</v>
      </c>
      <c r="D35" s="1">
        <f>C35 + Data!E35 + Data!F35</f>
        <v>674000</v>
      </c>
      <c r="E35" s="1">
        <f t="shared" si="0"/>
        <v>190000</v>
      </c>
    </row>
    <row r="36" spans="1:5" x14ac:dyDescent="0.3">
      <c r="A36" t="str">
        <f>Data!A36</f>
        <v>Nov-2023</v>
      </c>
      <c r="B36" s="1">
        <f>Data!B36 * Data!C36</f>
        <v>918000</v>
      </c>
      <c r="C36" s="1">
        <f>Data!B36 * Data!D36</f>
        <v>408000</v>
      </c>
      <c r="D36" s="1">
        <f>C36 + Data!E36 + Data!F36</f>
        <v>703000</v>
      </c>
      <c r="E36" s="1">
        <f t="shared" si="0"/>
        <v>215000</v>
      </c>
    </row>
    <row r="37" spans="1:5" x14ac:dyDescent="0.3">
      <c r="A37" t="str">
        <f>Data!A37</f>
        <v>Dec-2023</v>
      </c>
      <c r="B37" s="1">
        <f>Data!B37 * Data!C37</f>
        <v>972000</v>
      </c>
      <c r="C37" s="1">
        <f>Data!B37 * Data!D37</f>
        <v>432000</v>
      </c>
      <c r="D37" s="1">
        <f>C37 + Data!E37 + Data!F37</f>
        <v>732000</v>
      </c>
      <c r="E37" s="1">
        <f t="shared" si="0"/>
        <v>240000</v>
      </c>
    </row>
    <row r="38" spans="1:5" x14ac:dyDescent="0.3">
      <c r="A38" t="str">
        <f>Data!A38</f>
        <v>Jan-2024</v>
      </c>
      <c r="B38" s="1">
        <f>Data!B38 * Data!C38</f>
        <v>448000</v>
      </c>
      <c r="C38" s="1">
        <f>Data!B38 * Data!D38</f>
        <v>200000</v>
      </c>
      <c r="D38" s="1">
        <f>C38 + Data!E38 + Data!F38</f>
        <v>460000</v>
      </c>
      <c r="E38" s="1">
        <f t="shared" si="0"/>
        <v>-12000</v>
      </c>
    </row>
    <row r="39" spans="1:5" x14ac:dyDescent="0.3">
      <c r="A39" t="str">
        <f>Data!A39</f>
        <v>Feb-2024</v>
      </c>
      <c r="B39" s="1">
        <f>Data!B39 * Data!C39</f>
        <v>504000</v>
      </c>
      <c r="C39" s="1">
        <f>Data!B39 * Data!D39</f>
        <v>225000</v>
      </c>
      <c r="D39" s="1">
        <f>C39 + Data!E39 + Data!F39</f>
        <v>490000</v>
      </c>
      <c r="E39" s="1">
        <f t="shared" si="0"/>
        <v>14000</v>
      </c>
    </row>
    <row r="40" spans="1:5" x14ac:dyDescent="0.3">
      <c r="A40" t="str">
        <f>Data!A40</f>
        <v>Mar-2024</v>
      </c>
      <c r="B40" s="1">
        <f>Data!B40 * Data!C40</f>
        <v>560000</v>
      </c>
      <c r="C40" s="1">
        <f>Data!B40 * Data!D40</f>
        <v>250000</v>
      </c>
      <c r="D40" s="1">
        <f>C40 + Data!E40 + Data!F40</f>
        <v>520000</v>
      </c>
      <c r="E40" s="1">
        <f t="shared" si="0"/>
        <v>40000</v>
      </c>
    </row>
    <row r="41" spans="1:5" x14ac:dyDescent="0.3">
      <c r="A41" t="str">
        <f>Data!A41</f>
        <v>Apr-2024</v>
      </c>
      <c r="B41" s="1">
        <f>Data!B41 * Data!C41</f>
        <v>616000</v>
      </c>
      <c r="C41" s="1">
        <f>Data!B41 * Data!D41</f>
        <v>275000</v>
      </c>
      <c r="D41" s="1">
        <f>C41 + Data!E41 + Data!F41</f>
        <v>550000</v>
      </c>
      <c r="E41" s="1">
        <f t="shared" si="0"/>
        <v>66000</v>
      </c>
    </row>
    <row r="42" spans="1:5" x14ac:dyDescent="0.3">
      <c r="A42" t="str">
        <f>Data!A42</f>
        <v>May-2024</v>
      </c>
      <c r="B42" s="1">
        <f>Data!B42 * Data!C42</f>
        <v>672000</v>
      </c>
      <c r="C42" s="1">
        <f>Data!B42 * Data!D42</f>
        <v>300000</v>
      </c>
      <c r="D42" s="1">
        <f>C42 + Data!E42 + Data!F42</f>
        <v>580000</v>
      </c>
      <c r="E42" s="1">
        <f t="shared" si="0"/>
        <v>92000</v>
      </c>
    </row>
    <row r="43" spans="1:5" x14ac:dyDescent="0.3">
      <c r="A43" t="str">
        <f>Data!A43</f>
        <v>Jun-2024</v>
      </c>
      <c r="B43" s="1">
        <f>Data!B43 * Data!C43</f>
        <v>728000</v>
      </c>
      <c r="C43" s="1">
        <f>Data!B43 * Data!D43</f>
        <v>325000</v>
      </c>
      <c r="D43" s="1">
        <f>C43 + Data!E43 + Data!F43</f>
        <v>610000</v>
      </c>
      <c r="E43" s="1">
        <f t="shared" si="0"/>
        <v>118000</v>
      </c>
    </row>
    <row r="44" spans="1:5" x14ac:dyDescent="0.3">
      <c r="A44" t="str">
        <f>Data!A44</f>
        <v>Jul-2024</v>
      </c>
      <c r="B44" s="1">
        <f>Data!B44 * Data!C44</f>
        <v>784000</v>
      </c>
      <c r="C44" s="1">
        <f>Data!B44 * Data!D44</f>
        <v>350000</v>
      </c>
      <c r="D44" s="1">
        <f>C44 + Data!E44 + Data!F44</f>
        <v>640000</v>
      </c>
      <c r="E44" s="1">
        <f t="shared" si="0"/>
        <v>144000</v>
      </c>
    </row>
    <row r="45" spans="1:5" x14ac:dyDescent="0.3">
      <c r="A45" t="str">
        <f>Data!A45</f>
        <v>Aug-2024</v>
      </c>
      <c r="B45" s="1">
        <f>Data!B45 * Data!C45</f>
        <v>840000</v>
      </c>
      <c r="C45" s="1">
        <f>Data!B45 * Data!D45</f>
        <v>375000</v>
      </c>
      <c r="D45" s="1">
        <f>C45 + Data!E45 + Data!F45</f>
        <v>670000</v>
      </c>
      <c r="E45" s="1">
        <f t="shared" si="0"/>
        <v>170000</v>
      </c>
    </row>
    <row r="46" spans="1:5" x14ac:dyDescent="0.3">
      <c r="A46" t="str">
        <f>Data!A46</f>
        <v>Sep-2024</v>
      </c>
      <c r="B46" s="1">
        <f>Data!B46 * Data!C46</f>
        <v>896000</v>
      </c>
      <c r="C46" s="1">
        <f>Data!B46 * Data!D46</f>
        <v>400000</v>
      </c>
      <c r="D46" s="1">
        <f>C46 + Data!E46 + Data!F46</f>
        <v>700000</v>
      </c>
      <c r="E46" s="1">
        <f t="shared" si="0"/>
        <v>196000</v>
      </c>
    </row>
    <row r="47" spans="1:5" x14ac:dyDescent="0.3">
      <c r="A47" t="str">
        <f>Data!A47</f>
        <v>Oct-2024</v>
      </c>
      <c r="B47" s="1">
        <f>Data!B47 * Data!C47</f>
        <v>952000</v>
      </c>
      <c r="C47" s="1">
        <f>Data!B47 * Data!D47</f>
        <v>425000</v>
      </c>
      <c r="D47" s="1">
        <f>C47 + Data!E47 + Data!F47</f>
        <v>730000</v>
      </c>
      <c r="E47" s="1">
        <f t="shared" si="0"/>
        <v>222000</v>
      </c>
    </row>
    <row r="48" spans="1:5" x14ac:dyDescent="0.3">
      <c r="A48" t="str">
        <f>Data!A48</f>
        <v>Nov-2024</v>
      </c>
      <c r="B48" s="1">
        <f>Data!B48 * Data!C48</f>
        <v>1008000</v>
      </c>
      <c r="C48" s="1">
        <f>Data!B48 * Data!D48</f>
        <v>450000</v>
      </c>
      <c r="D48" s="1">
        <f>C48 + Data!E48 + Data!F48</f>
        <v>760000</v>
      </c>
      <c r="E48" s="1">
        <f t="shared" si="0"/>
        <v>248000</v>
      </c>
    </row>
    <row r="49" spans="1:5" x14ac:dyDescent="0.3">
      <c r="A49" t="str">
        <f>Data!A49</f>
        <v>Dec-2024</v>
      </c>
      <c r="B49" s="1">
        <f>Data!B49 * Data!C49</f>
        <v>1120000</v>
      </c>
      <c r="C49" s="1">
        <f>Data!B49 * Data!D49</f>
        <v>500000</v>
      </c>
      <c r="D49" s="1">
        <f>C49 + Data!E49 + Data!F49</f>
        <v>820000</v>
      </c>
      <c r="E49" s="1">
        <f t="shared" si="0"/>
        <v>300000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6998-B8C6-4DA0-B42F-C56FB422EEE1}">
  <dimension ref="A1:P61"/>
  <sheetViews>
    <sheetView zoomScale="46" zoomScaleNormal="46" workbookViewId="0">
      <selection activeCell="A2" sqref="A2"/>
    </sheetView>
  </sheetViews>
  <sheetFormatPr defaultRowHeight="14.4" x14ac:dyDescent="0.3"/>
  <cols>
    <col min="1" max="1" width="115.88671875" style="6" customWidth="1"/>
    <col min="2" max="2" width="25.77734375" style="6" customWidth="1"/>
    <col min="3" max="3" width="8.6640625" style="6" customWidth="1"/>
    <col min="4" max="4" width="22.33203125" style="6" customWidth="1"/>
    <col min="5" max="5" width="8.88671875" style="6"/>
    <col min="6" max="6" width="9" style="6" bestFit="1" customWidth="1"/>
    <col min="7" max="7" width="23" style="6" customWidth="1"/>
    <col min="8" max="8" width="31.33203125" style="6" customWidth="1"/>
    <col min="9" max="9" width="8.88671875" style="6"/>
    <col min="10" max="10" width="20.33203125" style="6" bestFit="1" customWidth="1"/>
    <col min="11" max="11" width="13.5546875" style="6" customWidth="1"/>
    <col min="12" max="12" width="14.5546875" style="6" customWidth="1"/>
    <col min="13" max="13" width="13.77734375" style="6" customWidth="1"/>
    <col min="14" max="14" width="22.44140625" style="6" customWidth="1"/>
    <col min="15" max="15" width="20" style="6" customWidth="1"/>
    <col min="16" max="16" width="21.6640625" style="6" customWidth="1"/>
    <col min="17" max="16384" width="8.88671875" style="6"/>
  </cols>
  <sheetData>
    <row r="1" spans="1:16" ht="100.8" x14ac:dyDescent="0.65">
      <c r="A1" s="5" t="s">
        <v>88</v>
      </c>
    </row>
    <row r="2" spans="1:16" ht="34.799999999999997" customHeight="1" x14ac:dyDescent="0.3">
      <c r="A2" s="7"/>
    </row>
    <row r="3" spans="1:16" ht="15" thickBot="1" x14ac:dyDescent="0.35">
      <c r="B3" s="30"/>
      <c r="C3" s="30"/>
      <c r="E3" s="30"/>
    </row>
    <row r="4" spans="1:16" ht="26.4" thickBot="1" x14ac:dyDescent="0.55000000000000004">
      <c r="B4" s="31" t="s">
        <v>97</v>
      </c>
      <c r="C4" s="32"/>
      <c r="D4" s="26" t="s">
        <v>96</v>
      </c>
      <c r="E4" s="24"/>
      <c r="F4" s="27" t="s">
        <v>58</v>
      </c>
      <c r="G4" s="28"/>
      <c r="H4" s="29" t="s">
        <v>59</v>
      </c>
    </row>
    <row r="5" spans="1:16" ht="24" thickBot="1" x14ac:dyDescent="0.5">
      <c r="B5" s="8">
        <f>SUM(Calculation!B2:B49)</f>
        <v>30704000</v>
      </c>
      <c r="C5" s="23"/>
      <c r="D5" s="9">
        <f>SUM(Calculation!E2:E49)</f>
        <v>4340000</v>
      </c>
      <c r="E5" s="24"/>
      <c r="F5" s="10">
        <f>Calculation!H2</f>
        <v>714.28571428571433</v>
      </c>
      <c r="G5" s="25" t="s">
        <v>64</v>
      </c>
      <c r="H5" s="11" t="s">
        <v>60</v>
      </c>
    </row>
    <row r="6" spans="1:16" x14ac:dyDescent="0.3">
      <c r="E6" s="12"/>
    </row>
    <row r="7" spans="1:16" ht="23.4" x14ac:dyDescent="0.45">
      <c r="A7" s="19" t="s">
        <v>94</v>
      </c>
      <c r="B7" s="6" t="s">
        <v>61</v>
      </c>
      <c r="D7" s="6" t="s">
        <v>62</v>
      </c>
      <c r="G7" s="19" t="s">
        <v>92</v>
      </c>
      <c r="J7" s="21" t="s">
        <v>95</v>
      </c>
    </row>
    <row r="9" spans="1:16" ht="23.4" x14ac:dyDescent="0.45">
      <c r="J9" s="14" t="s">
        <v>89</v>
      </c>
      <c r="K9" s="14" t="s">
        <v>64</v>
      </c>
      <c r="L9" s="14" t="s">
        <v>90</v>
      </c>
      <c r="M9" s="14" t="s">
        <v>91</v>
      </c>
      <c r="N9" s="14" t="s">
        <v>4</v>
      </c>
      <c r="O9" s="35" t="s">
        <v>101</v>
      </c>
      <c r="P9" s="35" t="s">
        <v>57</v>
      </c>
    </row>
    <row r="10" spans="1:16" ht="23.4" x14ac:dyDescent="0.45">
      <c r="J10" s="14" t="s">
        <v>69</v>
      </c>
      <c r="K10" s="14">
        <v>1800</v>
      </c>
      <c r="L10" s="15">
        <v>580</v>
      </c>
      <c r="M10" s="15">
        <v>200</v>
      </c>
      <c r="N10" s="15">
        <v>200000</v>
      </c>
      <c r="O10" s="36">
        <v>70000</v>
      </c>
      <c r="P10" s="36">
        <f>(K10*L10)-(K10*M10+N10+O10)</f>
        <v>414000</v>
      </c>
    </row>
    <row r="11" spans="1:16" ht="23.4" x14ac:dyDescent="0.45">
      <c r="J11" s="14" t="s">
        <v>68</v>
      </c>
      <c r="K11" s="14">
        <v>1300</v>
      </c>
      <c r="L11" s="15">
        <v>540</v>
      </c>
      <c r="M11" s="15">
        <v>240</v>
      </c>
      <c r="N11" s="15">
        <v>220000</v>
      </c>
      <c r="O11" s="36">
        <v>50000</v>
      </c>
      <c r="P11" s="36">
        <f t="shared" ref="P11:P12" si="0">(K11*L11)-(K11*M11+N11+O11)</f>
        <v>120000</v>
      </c>
    </row>
    <row r="12" spans="1:16" ht="23.4" x14ac:dyDescent="0.45">
      <c r="J12" s="14" t="s">
        <v>70</v>
      </c>
      <c r="K12" s="14">
        <v>900</v>
      </c>
      <c r="L12" s="15">
        <v>480</v>
      </c>
      <c r="M12" s="15">
        <v>280</v>
      </c>
      <c r="N12" s="15">
        <v>230000</v>
      </c>
      <c r="O12" s="36">
        <v>40000</v>
      </c>
      <c r="P12" s="36">
        <f t="shared" si="0"/>
        <v>-90000</v>
      </c>
    </row>
    <row r="21" spans="1:15" ht="23.4" x14ac:dyDescent="0.45">
      <c r="L21" s="21" t="s">
        <v>76</v>
      </c>
      <c r="M21" s="33"/>
      <c r="N21" s="33"/>
      <c r="O21" s="33"/>
    </row>
    <row r="22" spans="1:15" ht="23.4" x14ac:dyDescent="0.45">
      <c r="L22" s="33"/>
      <c r="M22" s="33"/>
      <c r="N22" s="33"/>
      <c r="O22" s="33"/>
    </row>
    <row r="23" spans="1:15" ht="23.4" x14ac:dyDescent="0.45">
      <c r="L23" s="33" t="s">
        <v>77</v>
      </c>
      <c r="M23" s="33"/>
      <c r="N23" s="33"/>
      <c r="O23" s="33"/>
    </row>
    <row r="24" spans="1:15" ht="23.4" x14ac:dyDescent="0.45">
      <c r="L24" s="33" t="s">
        <v>78</v>
      </c>
      <c r="M24" s="33"/>
      <c r="N24" s="33"/>
      <c r="O24" s="33"/>
    </row>
    <row r="25" spans="1:15" ht="23.4" x14ac:dyDescent="0.45">
      <c r="L25" s="33" t="s">
        <v>79</v>
      </c>
      <c r="M25" s="33"/>
      <c r="N25" s="34"/>
      <c r="O25" s="33"/>
    </row>
    <row r="26" spans="1:15" ht="23.4" x14ac:dyDescent="0.45">
      <c r="A26" s="20" t="s">
        <v>93</v>
      </c>
      <c r="G26" s="22" t="s">
        <v>67</v>
      </c>
      <c r="L26" s="33" t="s">
        <v>80</v>
      </c>
      <c r="M26" s="33"/>
      <c r="N26" s="33"/>
      <c r="O26" s="33"/>
    </row>
    <row r="27" spans="1:15" ht="23.4" x14ac:dyDescent="0.45">
      <c r="L27" s="33" t="s">
        <v>81</v>
      </c>
      <c r="M27" s="33"/>
      <c r="N27" s="33"/>
      <c r="O27" s="33"/>
    </row>
    <row r="28" spans="1:15" ht="23.4" x14ac:dyDescent="0.45">
      <c r="L28" s="33" t="s">
        <v>100</v>
      </c>
      <c r="M28" s="33"/>
      <c r="N28" s="33"/>
      <c r="O28" s="33"/>
    </row>
    <row r="29" spans="1:15" ht="23.4" x14ac:dyDescent="0.45">
      <c r="L29" s="33"/>
      <c r="M29" s="33"/>
      <c r="N29" s="33"/>
      <c r="O29" s="33"/>
    </row>
    <row r="30" spans="1:15" ht="23.4" x14ac:dyDescent="0.45">
      <c r="L30" s="21" t="s">
        <v>82</v>
      </c>
      <c r="M30" s="33"/>
      <c r="N30" s="33"/>
      <c r="O30" s="33"/>
    </row>
    <row r="31" spans="1:15" ht="23.4" x14ac:dyDescent="0.45">
      <c r="L31" s="33"/>
      <c r="M31" s="33"/>
      <c r="N31" s="33"/>
      <c r="O31" s="33"/>
    </row>
    <row r="32" spans="1:15" ht="23.4" x14ac:dyDescent="0.45">
      <c r="L32" s="33" t="s">
        <v>83</v>
      </c>
      <c r="M32" s="33"/>
      <c r="N32" s="33"/>
      <c r="O32" s="33"/>
    </row>
    <row r="33" spans="1:15" ht="23.4" x14ac:dyDescent="0.45">
      <c r="L33" s="33" t="s">
        <v>84</v>
      </c>
      <c r="M33" s="33"/>
      <c r="N33" s="33"/>
      <c r="O33" s="33"/>
    </row>
    <row r="34" spans="1:15" ht="23.4" x14ac:dyDescent="0.45">
      <c r="L34" s="33" t="s">
        <v>85</v>
      </c>
      <c r="M34" s="33"/>
      <c r="N34" s="33"/>
      <c r="O34" s="33"/>
    </row>
    <row r="35" spans="1:15" ht="23.4" x14ac:dyDescent="0.45">
      <c r="L35" s="33" t="s">
        <v>86</v>
      </c>
      <c r="M35" s="33"/>
      <c r="N35" s="33"/>
      <c r="O35" s="33"/>
    </row>
    <row r="36" spans="1:15" ht="23.4" x14ac:dyDescent="0.45">
      <c r="L36" s="33" t="s">
        <v>87</v>
      </c>
      <c r="M36" s="33"/>
      <c r="N36" s="33"/>
      <c r="O36" s="33"/>
    </row>
    <row r="37" spans="1:15" ht="23.4" x14ac:dyDescent="0.45">
      <c r="L37" s="33"/>
      <c r="M37" s="33"/>
      <c r="N37" s="33"/>
      <c r="O37" s="33"/>
    </row>
    <row r="45" spans="1:15" ht="18" x14ac:dyDescent="0.35">
      <c r="A45" s="16"/>
    </row>
    <row r="46" spans="1:15" ht="21" x14ac:dyDescent="0.4">
      <c r="J46" s="17"/>
    </row>
    <row r="47" spans="1:15" ht="21" x14ac:dyDescent="0.4">
      <c r="B47" s="13"/>
    </row>
    <row r="49" spans="1:14" ht="21" x14ac:dyDescent="0.4">
      <c r="B49" s="18"/>
      <c r="C49" s="18"/>
      <c r="D49" s="18"/>
      <c r="E49" s="18"/>
      <c r="F49" s="18"/>
      <c r="G49" s="18"/>
      <c r="H49" s="18"/>
      <c r="N49" s="13" t="s">
        <v>98</v>
      </c>
    </row>
    <row r="50" spans="1:14" ht="21" x14ac:dyDescent="0.4">
      <c r="B50" s="18"/>
      <c r="C50" s="18"/>
      <c r="D50" s="18"/>
      <c r="E50" s="18"/>
      <c r="F50" s="18"/>
      <c r="G50" s="18"/>
      <c r="H50" s="18"/>
      <c r="N50" s="13" t="s">
        <v>99</v>
      </c>
    </row>
    <row r="51" spans="1:14" ht="18" x14ac:dyDescent="0.35">
      <c r="B51" s="18"/>
      <c r="C51" s="18"/>
      <c r="D51" s="18"/>
      <c r="E51" s="18"/>
      <c r="F51" s="18"/>
      <c r="G51" s="18"/>
      <c r="H51" s="18"/>
    </row>
    <row r="52" spans="1:14" ht="18" x14ac:dyDescent="0.35">
      <c r="A52" s="18"/>
      <c r="B52" s="18"/>
      <c r="C52" s="18"/>
      <c r="D52" s="18"/>
      <c r="E52" s="18"/>
      <c r="F52" s="18"/>
      <c r="G52" s="18"/>
    </row>
    <row r="53" spans="1:14" ht="18" x14ac:dyDescent="0.35">
      <c r="B53" s="18"/>
      <c r="C53" s="18"/>
      <c r="D53" s="18"/>
      <c r="E53" s="18"/>
      <c r="F53" s="18"/>
      <c r="G53" s="18"/>
      <c r="H53" s="18"/>
    </row>
    <row r="55" spans="1:14" ht="21" x14ac:dyDescent="0.4">
      <c r="C55" s="13"/>
    </row>
    <row r="57" spans="1:14" ht="18" x14ac:dyDescent="0.35">
      <c r="H57" s="18"/>
      <c r="I57" s="18"/>
    </row>
    <row r="58" spans="1:14" ht="18" x14ac:dyDescent="0.35">
      <c r="H58" s="18"/>
      <c r="I58" s="18"/>
      <c r="J58" s="18"/>
    </row>
    <row r="59" spans="1:14" ht="18" x14ac:dyDescent="0.35">
      <c r="J59" s="18"/>
    </row>
    <row r="60" spans="1:14" ht="18" x14ac:dyDescent="0.35">
      <c r="J60" s="18"/>
    </row>
    <row r="61" spans="1:14" ht="18" x14ac:dyDescent="0.35">
      <c r="I61" s="18"/>
      <c r="J61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FDC9-BCB5-4606-B9EE-A36A155B466F}">
  <dimension ref="A3:C52"/>
  <sheetViews>
    <sheetView topLeftCell="A13" workbookViewId="0">
      <selection activeCell="J29" sqref="J29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5.88671875" bestFit="1" customWidth="1"/>
  </cols>
  <sheetData>
    <row r="3" spans="1:3" x14ac:dyDescent="0.3">
      <c r="A3" s="3" t="s">
        <v>71</v>
      </c>
      <c r="B3" t="s">
        <v>73</v>
      </c>
      <c r="C3" t="s">
        <v>74</v>
      </c>
    </row>
    <row r="4" spans="1:3" x14ac:dyDescent="0.3">
      <c r="A4" s="4" t="s">
        <v>9</v>
      </c>
      <c r="B4" s="1">
        <v>400000</v>
      </c>
      <c r="C4" s="1">
        <v>411000</v>
      </c>
    </row>
    <row r="5" spans="1:3" x14ac:dyDescent="0.3">
      <c r="A5" s="4" t="s">
        <v>21</v>
      </c>
      <c r="B5" s="1">
        <v>468000</v>
      </c>
      <c r="C5" s="1">
        <v>451000</v>
      </c>
    </row>
    <row r="6" spans="1:3" x14ac:dyDescent="0.3">
      <c r="A6" s="4" t="s">
        <v>33</v>
      </c>
      <c r="B6" s="1">
        <v>540000</v>
      </c>
      <c r="C6" s="1">
        <v>500000</v>
      </c>
    </row>
    <row r="7" spans="1:3" x14ac:dyDescent="0.3">
      <c r="A7" s="4" t="s">
        <v>45</v>
      </c>
      <c r="B7" s="1">
        <v>616000</v>
      </c>
      <c r="C7" s="1">
        <v>550000</v>
      </c>
    </row>
    <row r="8" spans="1:3" x14ac:dyDescent="0.3">
      <c r="A8" s="4" t="s">
        <v>13</v>
      </c>
      <c r="B8" s="1">
        <v>600000</v>
      </c>
      <c r="C8" s="1">
        <v>519000</v>
      </c>
    </row>
    <row r="9" spans="1:3" x14ac:dyDescent="0.3">
      <c r="A9" s="4" t="s">
        <v>25</v>
      </c>
      <c r="B9" s="1">
        <v>676000</v>
      </c>
      <c r="C9" s="1">
        <v>559000</v>
      </c>
    </row>
    <row r="10" spans="1:3" x14ac:dyDescent="0.3">
      <c r="A10" s="4" t="s">
        <v>37</v>
      </c>
      <c r="B10" s="1">
        <v>756000</v>
      </c>
      <c r="C10" s="1">
        <v>616000</v>
      </c>
    </row>
    <row r="11" spans="1:3" x14ac:dyDescent="0.3">
      <c r="A11" s="4" t="s">
        <v>49</v>
      </c>
      <c r="B11" s="1">
        <v>840000</v>
      </c>
      <c r="C11" s="1">
        <v>670000</v>
      </c>
    </row>
    <row r="12" spans="1:3" x14ac:dyDescent="0.3">
      <c r="A12" s="4" t="s">
        <v>17</v>
      </c>
      <c r="B12" s="1">
        <v>800000</v>
      </c>
      <c r="C12" s="1">
        <v>627000</v>
      </c>
    </row>
    <row r="13" spans="1:3" x14ac:dyDescent="0.3">
      <c r="A13" s="4" t="s">
        <v>29</v>
      </c>
      <c r="B13" s="1">
        <v>884000</v>
      </c>
      <c r="C13" s="1">
        <v>667000</v>
      </c>
    </row>
    <row r="14" spans="1:3" x14ac:dyDescent="0.3">
      <c r="A14" s="4" t="s">
        <v>41</v>
      </c>
      <c r="B14" s="1">
        <v>972000</v>
      </c>
      <c r="C14" s="1">
        <v>732000</v>
      </c>
    </row>
    <row r="15" spans="1:3" x14ac:dyDescent="0.3">
      <c r="A15" s="4" t="s">
        <v>53</v>
      </c>
      <c r="B15" s="1">
        <v>1120000</v>
      </c>
      <c r="C15" s="1">
        <v>820000</v>
      </c>
    </row>
    <row r="16" spans="1:3" x14ac:dyDescent="0.3">
      <c r="A16" s="4" t="s">
        <v>7</v>
      </c>
      <c r="B16" s="1">
        <v>300000</v>
      </c>
      <c r="C16" s="1">
        <v>357000</v>
      </c>
    </row>
    <row r="17" spans="1:3" x14ac:dyDescent="0.3">
      <c r="A17" s="4" t="s">
        <v>19</v>
      </c>
      <c r="B17" s="1">
        <v>364000</v>
      </c>
      <c r="C17" s="1">
        <v>397000</v>
      </c>
    </row>
    <row r="18" spans="1:3" x14ac:dyDescent="0.3">
      <c r="A18" s="4" t="s">
        <v>31</v>
      </c>
      <c r="B18" s="1">
        <v>432000</v>
      </c>
      <c r="C18" s="1">
        <v>442000</v>
      </c>
    </row>
    <row r="19" spans="1:3" x14ac:dyDescent="0.3">
      <c r="A19" s="4" t="s">
        <v>43</v>
      </c>
      <c r="B19" s="1">
        <v>504000</v>
      </c>
      <c r="C19" s="1">
        <v>490000</v>
      </c>
    </row>
    <row r="20" spans="1:3" x14ac:dyDescent="0.3">
      <c r="A20" s="4" t="s">
        <v>6</v>
      </c>
      <c r="B20" s="1">
        <v>250000</v>
      </c>
      <c r="C20" s="1">
        <v>330000</v>
      </c>
    </row>
    <row r="21" spans="1:3" x14ac:dyDescent="0.3">
      <c r="A21" s="4" t="s">
        <v>18</v>
      </c>
      <c r="B21" s="1">
        <v>312000</v>
      </c>
      <c r="C21" s="1">
        <v>370000</v>
      </c>
    </row>
    <row r="22" spans="1:3" x14ac:dyDescent="0.3">
      <c r="A22" s="4" t="s">
        <v>30</v>
      </c>
      <c r="B22" s="1">
        <v>378000</v>
      </c>
      <c r="C22" s="1">
        <v>413000</v>
      </c>
    </row>
    <row r="23" spans="1:3" x14ac:dyDescent="0.3">
      <c r="A23" s="4" t="s">
        <v>42</v>
      </c>
      <c r="B23" s="1">
        <v>448000</v>
      </c>
      <c r="C23" s="1">
        <v>460000</v>
      </c>
    </row>
    <row r="24" spans="1:3" x14ac:dyDescent="0.3">
      <c r="A24" s="4" t="s">
        <v>12</v>
      </c>
      <c r="B24" s="1">
        <v>550000</v>
      </c>
      <c r="C24" s="1">
        <v>492000</v>
      </c>
    </row>
    <row r="25" spans="1:3" x14ac:dyDescent="0.3">
      <c r="A25" s="4" t="s">
        <v>24</v>
      </c>
      <c r="B25" s="1">
        <v>624000</v>
      </c>
      <c r="C25" s="1">
        <v>532000</v>
      </c>
    </row>
    <row r="26" spans="1:3" x14ac:dyDescent="0.3">
      <c r="A26" s="4" t="s">
        <v>36</v>
      </c>
      <c r="B26" s="1">
        <v>702000</v>
      </c>
      <c r="C26" s="1">
        <v>587000</v>
      </c>
    </row>
    <row r="27" spans="1:3" x14ac:dyDescent="0.3">
      <c r="A27" s="4" t="s">
        <v>48</v>
      </c>
      <c r="B27" s="1">
        <v>784000</v>
      </c>
      <c r="C27" s="1">
        <v>640000</v>
      </c>
    </row>
    <row r="28" spans="1:3" x14ac:dyDescent="0.3">
      <c r="A28" s="4" t="s">
        <v>11</v>
      </c>
      <c r="B28" s="1">
        <v>500000</v>
      </c>
      <c r="C28" s="1">
        <v>465000</v>
      </c>
    </row>
    <row r="29" spans="1:3" x14ac:dyDescent="0.3">
      <c r="A29" s="4" t="s">
        <v>23</v>
      </c>
      <c r="B29" s="1">
        <v>572000</v>
      </c>
      <c r="C29" s="1">
        <v>505000</v>
      </c>
    </row>
    <row r="30" spans="1:3" x14ac:dyDescent="0.3">
      <c r="A30" s="4" t="s">
        <v>35</v>
      </c>
      <c r="B30" s="1">
        <v>648000</v>
      </c>
      <c r="C30" s="1">
        <v>558000</v>
      </c>
    </row>
    <row r="31" spans="1:3" x14ac:dyDescent="0.3">
      <c r="A31" s="4" t="s">
        <v>47</v>
      </c>
      <c r="B31" s="1">
        <v>728000</v>
      </c>
      <c r="C31" s="1">
        <v>610000</v>
      </c>
    </row>
    <row r="32" spans="1:3" x14ac:dyDescent="0.3">
      <c r="A32" s="4" t="s">
        <v>8</v>
      </c>
      <c r="B32" s="1">
        <v>350000</v>
      </c>
      <c r="C32" s="1">
        <v>384000</v>
      </c>
    </row>
    <row r="33" spans="1:3" x14ac:dyDescent="0.3">
      <c r="A33" s="4" t="s">
        <v>20</v>
      </c>
      <c r="B33" s="1">
        <v>416000</v>
      </c>
      <c r="C33" s="1">
        <v>424000</v>
      </c>
    </row>
    <row r="34" spans="1:3" x14ac:dyDescent="0.3">
      <c r="A34" s="4" t="s">
        <v>32</v>
      </c>
      <c r="B34" s="1">
        <v>486000</v>
      </c>
      <c r="C34" s="1">
        <v>471000</v>
      </c>
    </row>
    <row r="35" spans="1:3" x14ac:dyDescent="0.3">
      <c r="A35" s="4" t="s">
        <v>44</v>
      </c>
      <c r="B35" s="1">
        <v>560000</v>
      </c>
      <c r="C35" s="1">
        <v>520000</v>
      </c>
    </row>
    <row r="36" spans="1:3" x14ac:dyDescent="0.3">
      <c r="A36" s="4" t="s">
        <v>10</v>
      </c>
      <c r="B36" s="1">
        <v>450000</v>
      </c>
      <c r="C36" s="1">
        <v>438000</v>
      </c>
    </row>
    <row r="37" spans="1:3" x14ac:dyDescent="0.3">
      <c r="A37" s="4" t="s">
        <v>22</v>
      </c>
      <c r="B37" s="1">
        <v>520000</v>
      </c>
      <c r="C37" s="1">
        <v>478000</v>
      </c>
    </row>
    <row r="38" spans="1:3" x14ac:dyDescent="0.3">
      <c r="A38" s="4" t="s">
        <v>34</v>
      </c>
      <c r="B38" s="1">
        <v>594000</v>
      </c>
      <c r="C38" s="1">
        <v>529000</v>
      </c>
    </row>
    <row r="39" spans="1:3" x14ac:dyDescent="0.3">
      <c r="A39" s="4" t="s">
        <v>46</v>
      </c>
      <c r="B39" s="1">
        <v>672000</v>
      </c>
      <c r="C39" s="1">
        <v>580000</v>
      </c>
    </row>
    <row r="40" spans="1:3" x14ac:dyDescent="0.3">
      <c r="A40" s="4" t="s">
        <v>16</v>
      </c>
      <c r="B40" s="1">
        <v>750000</v>
      </c>
      <c r="C40" s="1">
        <v>600000</v>
      </c>
    </row>
    <row r="41" spans="1:3" x14ac:dyDescent="0.3">
      <c r="A41" s="4" t="s">
        <v>28</v>
      </c>
      <c r="B41" s="1">
        <v>832000</v>
      </c>
      <c r="C41" s="1">
        <v>640000</v>
      </c>
    </row>
    <row r="42" spans="1:3" x14ac:dyDescent="0.3">
      <c r="A42" s="4" t="s">
        <v>40</v>
      </c>
      <c r="B42" s="1">
        <v>918000</v>
      </c>
      <c r="C42" s="1">
        <v>703000</v>
      </c>
    </row>
    <row r="43" spans="1:3" x14ac:dyDescent="0.3">
      <c r="A43" s="4" t="s">
        <v>52</v>
      </c>
      <c r="B43" s="1">
        <v>1008000</v>
      </c>
      <c r="C43" s="1">
        <v>760000</v>
      </c>
    </row>
    <row r="44" spans="1:3" x14ac:dyDescent="0.3">
      <c r="A44" s="4" t="s">
        <v>15</v>
      </c>
      <c r="B44" s="1">
        <v>700000</v>
      </c>
      <c r="C44" s="1">
        <v>573000</v>
      </c>
    </row>
    <row r="45" spans="1:3" x14ac:dyDescent="0.3">
      <c r="A45" s="4" t="s">
        <v>27</v>
      </c>
      <c r="B45" s="1">
        <v>780000</v>
      </c>
      <c r="C45" s="1">
        <v>613000</v>
      </c>
    </row>
    <row r="46" spans="1:3" x14ac:dyDescent="0.3">
      <c r="A46" s="4" t="s">
        <v>39</v>
      </c>
      <c r="B46" s="1">
        <v>864000</v>
      </c>
      <c r="C46" s="1">
        <v>674000</v>
      </c>
    </row>
    <row r="47" spans="1:3" x14ac:dyDescent="0.3">
      <c r="A47" s="4" t="s">
        <v>51</v>
      </c>
      <c r="B47" s="1">
        <v>952000</v>
      </c>
      <c r="C47" s="1">
        <v>730000</v>
      </c>
    </row>
    <row r="48" spans="1:3" x14ac:dyDescent="0.3">
      <c r="A48" s="4" t="s">
        <v>14</v>
      </c>
      <c r="B48" s="1">
        <v>650000</v>
      </c>
      <c r="C48" s="1">
        <v>546000</v>
      </c>
    </row>
    <row r="49" spans="1:3" x14ac:dyDescent="0.3">
      <c r="A49" s="4" t="s">
        <v>26</v>
      </c>
      <c r="B49" s="1">
        <v>728000</v>
      </c>
      <c r="C49" s="1">
        <v>586000</v>
      </c>
    </row>
    <row r="50" spans="1:3" x14ac:dyDescent="0.3">
      <c r="A50" s="4" t="s">
        <v>38</v>
      </c>
      <c r="B50" s="1">
        <v>810000</v>
      </c>
      <c r="C50" s="1">
        <v>645000</v>
      </c>
    </row>
    <row r="51" spans="1:3" x14ac:dyDescent="0.3">
      <c r="A51" s="4" t="s">
        <v>50</v>
      </c>
      <c r="B51" s="1">
        <v>896000</v>
      </c>
      <c r="C51" s="1">
        <v>700000</v>
      </c>
    </row>
    <row r="52" spans="1:3" x14ac:dyDescent="0.3">
      <c r="A52" s="4" t="s">
        <v>72</v>
      </c>
      <c r="B52" s="1">
        <v>30704000</v>
      </c>
      <c r="C52" s="1">
        <v>26364000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99B9-4992-4E1B-A10F-A1A0B13653ED}">
  <dimension ref="A3:B52"/>
  <sheetViews>
    <sheetView topLeftCell="A16" workbookViewId="0">
      <selection activeCell="F42" sqref="F42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3" spans="1:2" x14ac:dyDescent="0.3">
      <c r="A3" s="3" t="s">
        <v>71</v>
      </c>
      <c r="B3" t="s">
        <v>75</v>
      </c>
    </row>
    <row r="4" spans="1:2" x14ac:dyDescent="0.3">
      <c r="A4" s="4" t="s">
        <v>9</v>
      </c>
      <c r="B4" s="1">
        <v>-11000</v>
      </c>
    </row>
    <row r="5" spans="1:2" x14ac:dyDescent="0.3">
      <c r="A5" s="4" t="s">
        <v>21</v>
      </c>
      <c r="B5" s="1">
        <v>17000</v>
      </c>
    </row>
    <row r="6" spans="1:2" x14ac:dyDescent="0.3">
      <c r="A6" s="4" t="s">
        <v>33</v>
      </c>
      <c r="B6" s="1">
        <v>40000</v>
      </c>
    </row>
    <row r="7" spans="1:2" x14ac:dyDescent="0.3">
      <c r="A7" s="4" t="s">
        <v>45</v>
      </c>
      <c r="B7" s="1">
        <v>66000</v>
      </c>
    </row>
    <row r="8" spans="1:2" x14ac:dyDescent="0.3">
      <c r="A8" s="4" t="s">
        <v>13</v>
      </c>
      <c r="B8" s="1">
        <v>81000</v>
      </c>
    </row>
    <row r="9" spans="1:2" x14ac:dyDescent="0.3">
      <c r="A9" s="4" t="s">
        <v>25</v>
      </c>
      <c r="B9" s="1">
        <v>117000</v>
      </c>
    </row>
    <row r="10" spans="1:2" x14ac:dyDescent="0.3">
      <c r="A10" s="4" t="s">
        <v>37</v>
      </c>
      <c r="B10" s="1">
        <v>140000</v>
      </c>
    </row>
    <row r="11" spans="1:2" x14ac:dyDescent="0.3">
      <c r="A11" s="4" t="s">
        <v>49</v>
      </c>
      <c r="B11" s="1">
        <v>170000</v>
      </c>
    </row>
    <row r="12" spans="1:2" x14ac:dyDescent="0.3">
      <c r="A12" s="4" t="s">
        <v>17</v>
      </c>
      <c r="B12" s="1">
        <v>173000</v>
      </c>
    </row>
    <row r="13" spans="1:2" x14ac:dyDescent="0.3">
      <c r="A13" s="4" t="s">
        <v>29</v>
      </c>
      <c r="B13" s="1">
        <v>217000</v>
      </c>
    </row>
    <row r="14" spans="1:2" x14ac:dyDescent="0.3">
      <c r="A14" s="4" t="s">
        <v>41</v>
      </c>
      <c r="B14" s="1">
        <v>240000</v>
      </c>
    </row>
    <row r="15" spans="1:2" x14ac:dyDescent="0.3">
      <c r="A15" s="4" t="s">
        <v>53</v>
      </c>
      <c r="B15" s="1">
        <v>300000</v>
      </c>
    </row>
    <row r="16" spans="1:2" x14ac:dyDescent="0.3">
      <c r="A16" s="4" t="s">
        <v>7</v>
      </c>
      <c r="B16" s="1">
        <v>-57000</v>
      </c>
    </row>
    <row r="17" spans="1:2" x14ac:dyDescent="0.3">
      <c r="A17" s="4" t="s">
        <v>19</v>
      </c>
      <c r="B17" s="1">
        <v>-33000</v>
      </c>
    </row>
    <row r="18" spans="1:2" x14ac:dyDescent="0.3">
      <c r="A18" s="4" t="s">
        <v>31</v>
      </c>
      <c r="B18" s="1">
        <v>-10000</v>
      </c>
    </row>
    <row r="19" spans="1:2" x14ac:dyDescent="0.3">
      <c r="A19" s="4" t="s">
        <v>43</v>
      </c>
      <c r="B19" s="1">
        <v>14000</v>
      </c>
    </row>
    <row r="20" spans="1:2" x14ac:dyDescent="0.3">
      <c r="A20" s="4" t="s">
        <v>6</v>
      </c>
      <c r="B20" s="1">
        <v>-80000</v>
      </c>
    </row>
    <row r="21" spans="1:2" x14ac:dyDescent="0.3">
      <c r="A21" s="4" t="s">
        <v>18</v>
      </c>
      <c r="B21" s="1">
        <v>-58000</v>
      </c>
    </row>
    <row r="22" spans="1:2" x14ac:dyDescent="0.3">
      <c r="A22" s="4" t="s">
        <v>30</v>
      </c>
      <c r="B22" s="1">
        <v>-35000</v>
      </c>
    </row>
    <row r="23" spans="1:2" x14ac:dyDescent="0.3">
      <c r="A23" s="4" t="s">
        <v>42</v>
      </c>
      <c r="B23" s="1">
        <v>-12000</v>
      </c>
    </row>
    <row r="24" spans="1:2" x14ac:dyDescent="0.3">
      <c r="A24" s="4" t="s">
        <v>12</v>
      </c>
      <c r="B24" s="1">
        <v>58000</v>
      </c>
    </row>
    <row r="25" spans="1:2" x14ac:dyDescent="0.3">
      <c r="A25" s="4" t="s">
        <v>24</v>
      </c>
      <c r="B25" s="1">
        <v>92000</v>
      </c>
    </row>
    <row r="26" spans="1:2" x14ac:dyDescent="0.3">
      <c r="A26" s="4" t="s">
        <v>36</v>
      </c>
      <c r="B26" s="1">
        <v>115000</v>
      </c>
    </row>
    <row r="27" spans="1:2" x14ac:dyDescent="0.3">
      <c r="A27" s="4" t="s">
        <v>48</v>
      </c>
      <c r="B27" s="1">
        <v>144000</v>
      </c>
    </row>
    <row r="28" spans="1:2" x14ac:dyDescent="0.3">
      <c r="A28" s="4" t="s">
        <v>11</v>
      </c>
      <c r="B28" s="1">
        <v>35000</v>
      </c>
    </row>
    <row r="29" spans="1:2" x14ac:dyDescent="0.3">
      <c r="A29" s="4" t="s">
        <v>23</v>
      </c>
      <c r="B29" s="1">
        <v>67000</v>
      </c>
    </row>
    <row r="30" spans="1:2" x14ac:dyDescent="0.3">
      <c r="A30" s="4" t="s">
        <v>35</v>
      </c>
      <c r="B30" s="1">
        <v>90000</v>
      </c>
    </row>
    <row r="31" spans="1:2" x14ac:dyDescent="0.3">
      <c r="A31" s="4" t="s">
        <v>47</v>
      </c>
      <c r="B31" s="1">
        <v>118000</v>
      </c>
    </row>
    <row r="32" spans="1:2" x14ac:dyDescent="0.3">
      <c r="A32" s="4" t="s">
        <v>8</v>
      </c>
      <c r="B32" s="1">
        <v>-34000</v>
      </c>
    </row>
    <row r="33" spans="1:2" x14ac:dyDescent="0.3">
      <c r="A33" s="4" t="s">
        <v>20</v>
      </c>
      <c r="B33" s="1">
        <v>-8000</v>
      </c>
    </row>
    <row r="34" spans="1:2" x14ac:dyDescent="0.3">
      <c r="A34" s="4" t="s">
        <v>32</v>
      </c>
      <c r="B34" s="1">
        <v>15000</v>
      </c>
    </row>
    <row r="35" spans="1:2" x14ac:dyDescent="0.3">
      <c r="A35" s="4" t="s">
        <v>44</v>
      </c>
      <c r="B35" s="1">
        <v>40000</v>
      </c>
    </row>
    <row r="36" spans="1:2" x14ac:dyDescent="0.3">
      <c r="A36" s="4" t="s">
        <v>10</v>
      </c>
      <c r="B36" s="1">
        <v>12000</v>
      </c>
    </row>
    <row r="37" spans="1:2" x14ac:dyDescent="0.3">
      <c r="A37" s="4" t="s">
        <v>22</v>
      </c>
      <c r="B37" s="1">
        <v>42000</v>
      </c>
    </row>
    <row r="38" spans="1:2" x14ac:dyDescent="0.3">
      <c r="A38" s="4" t="s">
        <v>34</v>
      </c>
      <c r="B38" s="1">
        <v>65000</v>
      </c>
    </row>
    <row r="39" spans="1:2" x14ac:dyDescent="0.3">
      <c r="A39" s="4" t="s">
        <v>46</v>
      </c>
      <c r="B39" s="1">
        <v>92000</v>
      </c>
    </row>
    <row r="40" spans="1:2" x14ac:dyDescent="0.3">
      <c r="A40" s="4" t="s">
        <v>16</v>
      </c>
      <c r="B40" s="1">
        <v>150000</v>
      </c>
    </row>
    <row r="41" spans="1:2" x14ac:dyDescent="0.3">
      <c r="A41" s="4" t="s">
        <v>28</v>
      </c>
      <c r="B41" s="1">
        <v>192000</v>
      </c>
    </row>
    <row r="42" spans="1:2" x14ac:dyDescent="0.3">
      <c r="A42" s="4" t="s">
        <v>40</v>
      </c>
      <c r="B42" s="1">
        <v>215000</v>
      </c>
    </row>
    <row r="43" spans="1:2" x14ac:dyDescent="0.3">
      <c r="A43" s="4" t="s">
        <v>52</v>
      </c>
      <c r="B43" s="1">
        <v>248000</v>
      </c>
    </row>
    <row r="44" spans="1:2" x14ac:dyDescent="0.3">
      <c r="A44" s="4" t="s">
        <v>15</v>
      </c>
      <c r="B44" s="1">
        <v>127000</v>
      </c>
    </row>
    <row r="45" spans="1:2" x14ac:dyDescent="0.3">
      <c r="A45" s="4" t="s">
        <v>27</v>
      </c>
      <c r="B45" s="1">
        <v>167000</v>
      </c>
    </row>
    <row r="46" spans="1:2" x14ac:dyDescent="0.3">
      <c r="A46" s="4" t="s">
        <v>39</v>
      </c>
      <c r="B46" s="1">
        <v>190000</v>
      </c>
    </row>
    <row r="47" spans="1:2" x14ac:dyDescent="0.3">
      <c r="A47" s="4" t="s">
        <v>51</v>
      </c>
      <c r="B47" s="1">
        <v>222000</v>
      </c>
    </row>
    <row r="48" spans="1:2" x14ac:dyDescent="0.3">
      <c r="A48" s="4" t="s">
        <v>14</v>
      </c>
      <c r="B48" s="1">
        <v>104000</v>
      </c>
    </row>
    <row r="49" spans="1:2" x14ac:dyDescent="0.3">
      <c r="A49" s="4" t="s">
        <v>26</v>
      </c>
      <c r="B49" s="1">
        <v>142000</v>
      </c>
    </row>
    <row r="50" spans="1:2" x14ac:dyDescent="0.3">
      <c r="A50" s="4" t="s">
        <v>38</v>
      </c>
      <c r="B50" s="1">
        <v>165000</v>
      </c>
    </row>
    <row r="51" spans="1:2" x14ac:dyDescent="0.3">
      <c r="A51" s="4" t="s">
        <v>50</v>
      </c>
      <c r="B51" s="1">
        <v>196000</v>
      </c>
    </row>
    <row r="52" spans="1:2" x14ac:dyDescent="0.3">
      <c r="A52" s="4" t="s">
        <v>72</v>
      </c>
      <c r="B52" s="1">
        <v>4340000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474F-68D5-4614-B45C-430270971649}">
  <dimension ref="A1:L7"/>
  <sheetViews>
    <sheetView workbookViewId="0">
      <selection activeCell="Q20" sqref="Q20"/>
    </sheetView>
  </sheetViews>
  <sheetFormatPr defaultRowHeight="14.4" x14ac:dyDescent="0.3"/>
  <cols>
    <col min="11" max="11" width="13.44140625" bestFit="1" customWidth="1"/>
  </cols>
  <sheetData>
    <row r="1" spans="1:12" x14ac:dyDescent="0.3">
      <c r="A1" t="s">
        <v>64</v>
      </c>
      <c r="B1" t="s">
        <v>54</v>
      </c>
      <c r="C1" t="s">
        <v>102</v>
      </c>
      <c r="K1" t="s">
        <v>103</v>
      </c>
      <c r="L1" t="s">
        <v>66</v>
      </c>
    </row>
    <row r="2" spans="1:12" x14ac:dyDescent="0.3">
      <c r="A2">
        <v>0</v>
      </c>
      <c r="B2">
        <f>A2*500</f>
        <v>0</v>
      </c>
      <c r="C2">
        <f>200000+(Sheet14!A2*220)</f>
        <v>200000</v>
      </c>
      <c r="K2" t="s">
        <v>54</v>
      </c>
      <c r="L2">
        <v>500000</v>
      </c>
    </row>
    <row r="3" spans="1:12" x14ac:dyDescent="0.3">
      <c r="A3">
        <v>200</v>
      </c>
      <c r="B3">
        <f>A3*500</f>
        <v>100000</v>
      </c>
      <c r="C3">
        <f>200000+(Sheet14!A3*220)</f>
        <v>244000</v>
      </c>
      <c r="K3" t="s">
        <v>65</v>
      </c>
      <c r="L3">
        <v>-200000</v>
      </c>
    </row>
    <row r="4" spans="1:12" x14ac:dyDescent="0.3">
      <c r="A4">
        <v>400</v>
      </c>
      <c r="B4">
        <f t="shared" ref="B4:B7" si="0">A4*500</f>
        <v>200000</v>
      </c>
      <c r="C4">
        <f>200000+(Sheet14!A4*220)</f>
        <v>288000</v>
      </c>
      <c r="K4" t="s">
        <v>4</v>
      </c>
      <c r="L4">
        <v>-200000</v>
      </c>
    </row>
    <row r="5" spans="1:12" x14ac:dyDescent="0.3">
      <c r="A5">
        <v>600</v>
      </c>
      <c r="B5">
        <f t="shared" si="0"/>
        <v>300000</v>
      </c>
      <c r="C5">
        <f>200000+(Sheet14!A5*220)</f>
        <v>332000</v>
      </c>
      <c r="K5" t="s">
        <v>5</v>
      </c>
      <c r="L5">
        <v>-50000</v>
      </c>
    </row>
    <row r="6" spans="1:12" x14ac:dyDescent="0.3">
      <c r="A6">
        <v>800</v>
      </c>
      <c r="B6">
        <f t="shared" si="0"/>
        <v>400000</v>
      </c>
      <c r="C6">
        <f>200000+(Sheet14!A6*220)</f>
        <v>376000</v>
      </c>
      <c r="K6" t="s">
        <v>57</v>
      </c>
      <c r="L6">
        <v>50000</v>
      </c>
    </row>
    <row r="7" spans="1:12" x14ac:dyDescent="0.3">
      <c r="A7">
        <v>1000</v>
      </c>
      <c r="B7">
        <f t="shared" si="0"/>
        <v>500000</v>
      </c>
      <c r="C7">
        <f>200000+(Sheet14!A7*220)</f>
        <v>420000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Calculation</vt:lpstr>
      <vt:lpstr>Dashboard</vt:lpstr>
      <vt:lpstr>Sheet11</vt:lpstr>
      <vt:lpstr>Sheet12</vt:lpstr>
      <vt:lpstr>Sheet14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Yadav</cp:lastModifiedBy>
  <dcterms:created xsi:type="dcterms:W3CDTF">2026-04-15T08:40:10Z</dcterms:created>
  <dcterms:modified xsi:type="dcterms:W3CDTF">2026-04-17T12:12:50Z</dcterms:modified>
</cp:coreProperties>
</file>